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aro Calderon2\2_1_Máster ENEB\16_Asesoría Laboral en RRHH (falta editar mas Forms)\Trabajo_final\Andrea\"/>
    </mc:Choice>
  </mc:AlternateContent>
  <xr:revisionPtr revIDLastSave="0" documentId="13_ncr:1_{9B320895-0E62-4D22-82BD-CF205C7785B4}" xr6:coauthVersionLast="47" xr6:coauthVersionMax="47" xr10:uidLastSave="{00000000-0000-0000-0000-000000000000}"/>
  <bookViews>
    <workbookView xWindow="28680" yWindow="-120" windowWidth="29040" windowHeight="15720" firstSheet="1" activeTab="7" xr2:uid="{00000000-000D-0000-FFFF-FFFF00000000}"/>
  </bookViews>
  <sheets>
    <sheet name="00_Datos_y_Supuestos" sheetId="1" r:id="rId1"/>
    <sheet name="01_Juana" sheetId="2" r:id="rId2"/>
    <sheet name="02_Hector" sheetId="3" r:id="rId3"/>
    <sheet name="03_Rodrigo" sheetId="4" r:id="rId4"/>
    <sheet name="04_Coste_Empresa" sheetId="5" r:id="rId5"/>
    <sheet name="05_Obligaciones" sheetId="6" r:id="rId6"/>
    <sheet name="06_Finiquito_Juana" sheetId="7" r:id="rId7"/>
    <sheet name="07_Resumen_Gerencia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7" l="1"/>
  <c r="C13" i="7"/>
  <c r="C11" i="7"/>
  <c r="C12" i="7" s="1"/>
  <c r="B23" i="4"/>
  <c r="B27" i="4" s="1"/>
  <c r="E20" i="4"/>
  <c r="D20" i="4"/>
  <c r="B24" i="4" s="1"/>
  <c r="B22" i="3"/>
  <c r="B26" i="3" s="1"/>
  <c r="E19" i="3"/>
  <c r="D19" i="3"/>
  <c r="B23" i="3" s="1"/>
  <c r="E18" i="3"/>
  <c r="E17" i="3"/>
  <c r="E16" i="3"/>
  <c r="D16" i="3"/>
  <c r="E15" i="3"/>
  <c r="D15" i="3"/>
  <c r="E14" i="3"/>
  <c r="D14" i="3"/>
  <c r="E13" i="3"/>
  <c r="D13" i="3"/>
  <c r="B22" i="2"/>
  <c r="B21" i="2"/>
  <c r="B6" i="5" s="1"/>
  <c r="E18" i="2"/>
  <c r="E17" i="2"/>
  <c r="E16" i="2"/>
  <c r="D16" i="2"/>
  <c r="E15" i="2"/>
  <c r="D15" i="2"/>
  <c r="E14" i="2"/>
  <c r="D14" i="2"/>
  <c r="E13" i="2"/>
  <c r="D13" i="2"/>
  <c r="D7" i="5" l="1"/>
  <c r="B7" i="8" s="1"/>
  <c r="B15" i="8" s="1"/>
  <c r="D15" i="8" s="1"/>
  <c r="E15" i="8" s="1"/>
  <c r="C7" i="5"/>
  <c r="D8" i="5"/>
  <c r="B8" i="8" s="1"/>
  <c r="B16" i="8" s="1"/>
  <c r="D16" i="8" s="1"/>
  <c r="E16" i="8" s="1"/>
  <c r="C8" i="5"/>
  <c r="C16" i="7"/>
  <c r="C18" i="7" s="1"/>
  <c r="C14" i="7"/>
  <c r="B23" i="2"/>
  <c r="B24" i="2" s="1"/>
  <c r="B25" i="4"/>
  <c r="B7" i="5"/>
  <c r="B24" i="3"/>
  <c r="B26" i="4"/>
  <c r="B8" i="5"/>
  <c r="B9" i="5" s="1"/>
  <c r="B25" i="2"/>
  <c r="B25" i="3"/>
  <c r="C19" i="7" l="1"/>
  <c r="D6" i="5"/>
  <c r="C6" i="5"/>
  <c r="C9" i="5" s="1"/>
  <c r="B6" i="8" l="1"/>
  <c r="D9" i="5"/>
  <c r="B14" i="8" l="1"/>
  <c r="D14" i="8" s="1"/>
  <c r="E14" i="8" s="1"/>
  <c r="B9" i="8"/>
</calcChain>
</file>

<file path=xl/sharedStrings.xml><?xml version="1.0" encoding="utf-8"?>
<sst xmlns="http://schemas.openxmlformats.org/spreadsheetml/2006/main" count="372" uniqueCount="223">
  <si>
    <t>Archivo Excel de ejemplo para respaldar los cálculos de los documentos de la asignatura "Asesoría Laboral en RRHH" de ENEB. Elaboración propia a partir del texto del curso, bibliografía, normativa y plataformas oficiales utilizadas para estos efectos.</t>
  </si>
  <si>
    <t>Datos maestros y supuestos del caso</t>
  </si>
  <si>
    <t>Dato</t>
  </si>
  <si>
    <t>Valor</t>
  </si>
  <si>
    <t>Unidad / condición</t>
  </si>
  <si>
    <t>Fuente / observación</t>
  </si>
  <si>
    <t>Fuente oficial</t>
  </si>
  <si>
    <t>URL</t>
  </si>
  <si>
    <t>Empresa</t>
  </si>
  <si>
    <t>Estudio Web M</t>
  </si>
  <si>
    <t>BOE - Orden PJC/297/2026</t>
  </si>
  <si>
    <t>https://www.boe.es/eli/es/o/2026/03/30/pjc297</t>
  </si>
  <si>
    <t>Titular</t>
  </si>
  <si>
    <t>David Ortega Montesinos</t>
  </si>
  <si>
    <t>Dato del enunciado</t>
  </si>
  <si>
    <t>AEAT - Retenciones 2026</t>
  </si>
  <si>
    <t>https://sede.agenciatributaria.gob.es/Sede/Retenciones.shtml</t>
  </si>
  <si>
    <t>Inicio actividad</t>
  </si>
  <si>
    <t>01/06/2026</t>
  </si>
  <si>
    <t>SEPE - Comunicación contratación</t>
  </si>
  <si>
    <t>https://www.sepe.es/HomeSepe/empresas/comunica-contratacion.html</t>
  </si>
  <si>
    <t>Centro de trabajo</t>
  </si>
  <si>
    <t>Calle Llull 120, 08005 Barcelona</t>
  </si>
  <si>
    <t>Dato recreado</t>
  </si>
  <si>
    <t>Importass - TGSS</t>
  </si>
  <si>
    <t>https://importass.seg-social.es/</t>
  </si>
  <si>
    <t>Actividad</t>
  </si>
  <si>
    <t>Diseño web e imagen corporativa</t>
  </si>
  <si>
    <t>CNAE-2025</t>
  </si>
  <si>
    <t>74.12</t>
  </si>
  <si>
    <t>Actividades de diseño gráfico y comunicación visual</t>
  </si>
  <si>
    <t>IAE principal</t>
  </si>
  <si>
    <t>843.9</t>
  </si>
  <si>
    <t>Dato recreado para el caso</t>
  </si>
  <si>
    <t>CCC</t>
  </si>
  <si>
    <t>08/1234567/00</t>
  </si>
  <si>
    <t>Dato ficticio de uso académico; revisar antes de uso real</t>
  </si>
  <si>
    <t>Convenio</t>
  </si>
  <si>
    <t>Convenio colectivo estatal de empresas de publicidad</t>
  </si>
  <si>
    <t>Aplicado al caso</t>
  </si>
  <si>
    <t>SMI 2026</t>
  </si>
  <si>
    <t>€/mes</t>
  </si>
  <si>
    <t>RD 126/2026</t>
  </si>
  <si>
    <t>Tope máximo cotización 2026</t>
  </si>
  <si>
    <t>Orden PJC/297/2026</t>
  </si>
  <si>
    <t>Base mínima grupo 7</t>
  </si>
  <si>
    <t>AT/EP actividad</t>
  </si>
  <si>
    <t>%</t>
  </si>
  <si>
    <t>Tarifa CNAE grupo 74</t>
  </si>
  <si>
    <t>CC empresa</t>
  </si>
  <si>
    <t>CC trabajador</t>
  </si>
  <si>
    <t>Desempleo empresa indefinido</t>
  </si>
  <si>
    <t>Desempleo trabajador indefinido</t>
  </si>
  <si>
    <t>Formación profesional empresa</t>
  </si>
  <si>
    <t>Formación profesional trabajador</t>
  </si>
  <si>
    <t>FOGASA empresa</t>
  </si>
  <si>
    <t>MEI empresa</t>
  </si>
  <si>
    <t>MEI trabajador</t>
  </si>
  <si>
    <t>Horas extra empresa</t>
  </si>
  <si>
    <t>Horas extra trabajador</t>
  </si>
  <si>
    <t>IRPF Juana</t>
  </si>
  <si>
    <t>Parámetro según cálculo AEAT 2026 y supuestos académicos</t>
  </si>
  <si>
    <t>IRPF Héctor</t>
  </si>
  <si>
    <t>IRPF Rodrigo</t>
  </si>
  <si>
    <t>Nómina y coste empresarial — Juana González Palma</t>
  </si>
  <si>
    <t>Concepto</t>
  </si>
  <si>
    <t>Importe / base (€)</t>
  </si>
  <si>
    <t>Tasa</t>
  </si>
  <si>
    <t>Cuota trabajador (€)</t>
  </si>
  <si>
    <t>Cuota empresa (€)</t>
  </si>
  <si>
    <t>Organismo / destino</t>
  </si>
  <si>
    <t>Observación</t>
  </si>
  <si>
    <t>Salario base</t>
  </si>
  <si>
    <t>Complemento conocimientos</t>
  </si>
  <si>
    <t>Complemento responsabilidad</t>
  </si>
  <si>
    <t>Transporte (extrasalarial)</t>
  </si>
  <si>
    <t>Prorrata pagas extraordinarias</t>
  </si>
  <si>
    <t>Solo para base/cálculo según caso</t>
  </si>
  <si>
    <t>Cálculo de cotizaciones</t>
  </si>
  <si>
    <t>Contingencias comunes</t>
  </si>
  <si>
    <t>TGSS</t>
  </si>
  <si>
    <t>Trabajador / empresa</t>
  </si>
  <si>
    <t>Desempleo</t>
  </si>
  <si>
    <t>Contratación indefinida</t>
  </si>
  <si>
    <t>Formación profesional</t>
  </si>
  <si>
    <t>MEI</t>
  </si>
  <si>
    <t>FOGASA</t>
  </si>
  <si>
    <t>Solo empresa</t>
  </si>
  <si>
    <t>AT/EP</t>
  </si>
  <si>
    <t>Resumen</t>
  </si>
  <si>
    <t>Retribución bruta</t>
  </si>
  <si>
    <t>Salario + complementos + transporte</t>
  </si>
  <si>
    <t>Total SS trabajador</t>
  </si>
  <si>
    <t>Deducción trabajador</t>
  </si>
  <si>
    <t>IRPF</t>
  </si>
  <si>
    <t>AEAT</t>
  </si>
  <si>
    <t>Retención según cálculo AEAT</t>
  </si>
  <si>
    <t>Líquido trabajador</t>
  </si>
  <si>
    <t>Coste total empresa</t>
  </si>
  <si>
    <t>Coste bolsillo mensual</t>
  </si>
  <si>
    <t>Nómina y coste empresarial — Héctor Véliz Poblete</t>
  </si>
  <si>
    <t>Complemento funcional</t>
  </si>
  <si>
    <t>Comisión 2 clientes</t>
  </si>
  <si>
    <t>Horas extraordinarias</t>
  </si>
  <si>
    <t>Cotización adicional horas extra</t>
  </si>
  <si>
    <t>3 horas extraordinarias</t>
  </si>
  <si>
    <t>Incluye horas extra</t>
  </si>
  <si>
    <t>Nómina y coste empresarial — Rodrigo Ríos Yévenes</t>
  </si>
  <si>
    <t>Tasa / cuota</t>
  </si>
  <si>
    <t>Salario base proporcional 65%</t>
  </si>
  <si>
    <t>Formación en alternancia</t>
  </si>
  <si>
    <t>Complemento diseño web</t>
  </si>
  <si>
    <t>Complemento disponibilidad técnica</t>
  </si>
  <si>
    <t>Cotización específica contrato de formación en alternancia</t>
  </si>
  <si>
    <t>Cuota fija 2026</t>
  </si>
  <si>
    <t>Cuota específica</t>
  </si>
  <si>
    <t>Cuota específica 2026</t>
  </si>
  <si>
    <t>Sujeto a régimen específico</t>
  </si>
  <si>
    <t>Bonificación contratación</t>
  </si>
  <si>
    <t>Bonificación aplicable</t>
  </si>
  <si>
    <t>Sujeta al cumplimiento de requisitos</t>
  </si>
  <si>
    <t>Total cotización efectiva</t>
  </si>
  <si>
    <t>Después de bonificación</t>
  </si>
  <si>
    <t>SS trabajador efectiva</t>
  </si>
  <si>
    <t>Coste laboral mensual — visión del empresario</t>
  </si>
  <si>
    <t>Trabajador</t>
  </si>
  <si>
    <t>Retribución bruta (€)</t>
  </si>
  <si>
    <t>Cargas empresariales (€)</t>
  </si>
  <si>
    <t>Coste bolsillo mensual (€)</t>
  </si>
  <si>
    <t>Juana González Palma</t>
  </si>
  <si>
    <t>Héctor Véliz Poblete</t>
  </si>
  <si>
    <t>Rodrigo Ríos Yévenes</t>
  </si>
  <si>
    <t>TOTAL PLANTILLA</t>
  </si>
  <si>
    <t>El coste bolsillo corresponde a la retribución bruta más las cargas empresariales efectivas. El detalle de cada cálculo se encuentra en las hojas individuales y sirve de respaldo para los anexos del trabajo.</t>
  </si>
  <si>
    <t>Los importes de Rodrigo consideran la bonificación bajo el supuesto académico de cumplimiento de requisitos.</t>
  </si>
  <si>
    <t>Mapa de obligaciones, organismos y control de gestión</t>
  </si>
  <si>
    <t>Concepto / cálculo</t>
  </si>
  <si>
    <t>Quién soporta el importe</t>
  </si>
  <si>
    <t>Organismo / entidad</t>
  </si>
  <si>
    <t>Portal / medio</t>
  </si>
  <si>
    <t>Periodicidad / momento</t>
  </si>
  <si>
    <t>Dónde se calcula</t>
  </si>
  <si>
    <t>Cotizaciones Seguridad Social - trabajador</t>
  </si>
  <si>
    <t>Trabajador (retenido por empresa)</t>
  </si>
  <si>
    <t>Importass / Sistema RED</t>
  </si>
  <si>
    <t>Mensual</t>
  </si>
  <si>
    <t>Hojas 01-03</t>
  </si>
  <si>
    <t>La empresa descuenta e ingresa</t>
  </si>
  <si>
    <t>Cotizaciones Seguridad Social - empresa</t>
  </si>
  <si>
    <t>Coste adicional empresa</t>
  </si>
  <si>
    <t>IRPF de nómina</t>
  </si>
  <si>
    <t>Sede electrónica AEAT</t>
  </si>
  <si>
    <t>Según obligaciones fiscales aplicables</t>
  </si>
  <si>
    <t>Tipo obtenido mediante cálculo AEAT</t>
  </si>
  <si>
    <t>Comunicación de contratos</t>
  </si>
  <si>
    <t>Empresa / gestión administrativa</t>
  </si>
  <si>
    <t>SEPE</t>
  </si>
  <si>
    <t>Contrat@</t>
  </si>
  <si>
    <t>Tras contratación, dentro del plazo aplicable</t>
  </si>
  <si>
    <t>Anexo contratos</t>
  </si>
  <si>
    <t>No es un coste salarial</t>
  </si>
  <si>
    <t>Afiliación / altas / bajas</t>
  </si>
  <si>
    <t>Cuando corresponda</t>
  </si>
  <si>
    <t>Anexos</t>
  </si>
  <si>
    <t>Apertura centro de trabajo</t>
  </si>
  <si>
    <t>Generalitat de Catalunya</t>
  </si>
  <si>
    <t>Canal Empresa</t>
  </si>
  <si>
    <t>Inicio / modificación cuando corresponda</t>
  </si>
  <si>
    <t>Desarrollo punto 1</t>
  </si>
  <si>
    <t>Finiquito e indemnización</t>
  </si>
  <si>
    <t>Trabajador / gestión laboral</t>
  </si>
  <si>
    <t>Documento de liquidación</t>
  </si>
  <si>
    <t>Al extinguir relación laboral</t>
  </si>
  <si>
    <t>Hoja 06</t>
  </si>
  <si>
    <t>Separar conceptos salariales e indemnización</t>
  </si>
  <si>
    <t>Referencia rápida de portales</t>
  </si>
  <si>
    <t>TGSS / Importass</t>
  </si>
  <si>
    <t>AEAT / Retenciones</t>
  </si>
  <si>
    <t>SEPE / Contratación</t>
  </si>
  <si>
    <t>BOE</t>
  </si>
  <si>
    <t>https://www.boe.es/</t>
  </si>
  <si>
    <t>Finiquito e indemnización — Juana González Palma</t>
  </si>
  <si>
    <t>Dato / fórmula</t>
  </si>
  <si>
    <t>Importe (€)</t>
  </si>
  <si>
    <t>Fecha inicio</t>
  </si>
  <si>
    <t>Fecha extinción</t>
  </si>
  <si>
    <t>30/06/2028</t>
  </si>
  <si>
    <t>Supuesto académico</t>
  </si>
  <si>
    <t>Años de servicio</t>
  </si>
  <si>
    <t>25 meses / 12</t>
  </si>
  <si>
    <t>2,0833 años</t>
  </si>
  <si>
    <t>Salario mensual salarial</t>
  </si>
  <si>
    <t>Excluye transporte extrasalarial</t>
  </si>
  <si>
    <t>Pagas extra anuales</t>
  </si>
  <si>
    <t>3 × 1.262,95</t>
  </si>
  <si>
    <t>Salario anual regulador</t>
  </si>
  <si>
    <t>12 mensualidades salariales + 3 pagas extra</t>
  </si>
  <si>
    <t>Salario diario regulador</t>
  </si>
  <si>
    <t>Salario anual / 365</t>
  </si>
  <si>
    <t>Días indemnización</t>
  </si>
  <si>
    <t>20 días por año de servicio</t>
  </si>
  <si>
    <t>Indemnización despido objetivo</t>
  </si>
  <si>
    <t>20 días/año, máximo legal aplicable</t>
  </si>
  <si>
    <t>Salario y complementos junio</t>
  </si>
  <si>
    <t>Incluye transporte</t>
  </si>
  <si>
    <t>Vacaciones no disfrutadas (5 días)</t>
  </si>
  <si>
    <t>5 días según caso</t>
  </si>
  <si>
    <t>Pagas extra pendientes</t>
  </si>
  <si>
    <t>Criterio académico adoptado: sin saldo adicional</t>
  </si>
  <si>
    <t>Finiquito bruto</t>
  </si>
  <si>
    <t>Salario junio + vacaciones + extra pendiente</t>
  </si>
  <si>
    <t>TOTAL BRUTO EXTINCIÓN</t>
  </si>
  <si>
    <t>Finiquito + indemnización</t>
  </si>
  <si>
    <t>Resumen gerencial y simulación de externalización</t>
  </si>
  <si>
    <t>Simulador de externalización</t>
  </si>
  <si>
    <t>Puesto / trabajador</t>
  </si>
  <si>
    <t>Coste laboral actual (€)</t>
  </si>
  <si>
    <t>Coste proveedor externo (€)</t>
  </si>
  <si>
    <t>Diferencia mensual (€)</t>
  </si>
  <si>
    <t>Diferencia anual (€)</t>
  </si>
  <si>
    <t>Interpretación</t>
  </si>
  <si>
    <t>Una diferencia positiva indica que el coste externo introducido es inferior al coste laboral actual. La comparación no incluye costes de extinción, transición, calidad, continuidad ni otros efectos organizativos.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</si>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</sst>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12">
    <font>
      <sz val="11"/>
      <name val="Carlito"/>
    </font>
    <font>
      <sz val="10"/>
      <color rgb="FF243447"/>
      <name val="Arial"/>
    </font>
    <font>
      <b/>
      <sz val="10"/>
      <color rgb="FF243447"/>
      <name val="Arial"/>
    </font>
    <font>
      <b/>
      <sz val="12"/>
      <color rgb="FF243447"/>
      <name val="Arial"/>
    </font>
    <font>
      <sz val="10"/>
      <color rgb="FF0000FF"/>
      <name val="Arial"/>
    </font>
    <font>
      <sz val="9"/>
      <color rgb="FFC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5B6573"/>
      <name val="Arial"/>
    </font>
    <font>
      <i/>
      <sz val="9"/>
      <name val="Arial"/>
      <family val="2"/>
    </font>
    <font>
      <sz val="9"/>
      <color rgb="FF5B6573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CEAF7"/>
      </patternFill>
    </fill>
    <fill>
      <patternFill patternType="solid">
        <fgColor rgb="FFEAF3FA"/>
      </patternFill>
    </fill>
    <fill>
      <patternFill patternType="solid">
        <fgColor rgb="FFEDE7F6"/>
      </patternFill>
    </fill>
    <fill>
      <patternFill patternType="solid">
        <fgColor rgb="FFFCE8D5"/>
      </patternFill>
    </fill>
    <fill>
      <patternFill patternType="solid">
        <fgColor rgb="FFFFF4CC"/>
      </patternFill>
    </fill>
    <fill>
      <patternFill patternType="solid">
        <fgColor rgb="FFE8F3E8"/>
      </patternFill>
    </fill>
    <fill>
      <patternFill patternType="solid">
        <fgColor rgb="FFF2F4F6"/>
      </patternFill>
    </fill>
  </fills>
  <borders count="9">
    <border>
      <left/>
      <right/>
      <top/>
      <bottom/>
      <diagonal/>
    </border>
    <border>
      <left/>
      <right/>
      <top/>
      <bottom style="thin">
        <color rgb="FFC9D2DC"/>
      </bottom>
      <diagonal/>
    </border>
    <border>
      <left style="thin">
        <color rgb="FFC9D2DC"/>
      </left>
      <right/>
      <top style="thin">
        <color rgb="FFC9D2DC"/>
      </top>
      <bottom style="thin">
        <color rgb="FFC9D2DC"/>
      </bottom>
      <diagonal/>
    </border>
    <border>
      <left/>
      <right/>
      <top style="thin">
        <color rgb="FFC9D2DC"/>
      </top>
      <bottom style="thin">
        <color rgb="FFC9D2DC"/>
      </bottom>
      <diagonal/>
    </border>
    <border>
      <left/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C9D2DC"/>
      </left>
      <right/>
      <top/>
      <bottom/>
      <diagonal/>
    </border>
    <border>
      <left/>
      <right style="thin">
        <color rgb="FFC9D2DC"/>
      </right>
      <top/>
      <bottom/>
      <diagonal/>
    </border>
    <border>
      <left style="thin">
        <color rgb="FFC9D2DC"/>
      </left>
      <right/>
      <top/>
      <bottom style="thin">
        <color rgb="FFC9D2DC"/>
      </bottom>
      <diagonal/>
    </border>
    <border>
      <left/>
      <right style="thin">
        <color rgb="FFC9D2DC"/>
      </right>
      <top/>
      <bottom style="thin">
        <color rgb="FFC9D2D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164" fontId="2" fillId="4" borderId="0" xfId="0" applyNumberFormat="1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164" fontId="2" fillId="5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6" borderId="0" xfId="0" applyNumberFormat="1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64" fontId="6" fillId="0" borderId="6" xfId="0" applyNumberFormat="1" applyFont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vertical="center" wrapText="1"/>
    </xf>
    <xf numFmtId="164" fontId="7" fillId="5" borderId="8" xfId="0" applyNumberFormat="1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164" fontId="6" fillId="6" borderId="1" xfId="0" applyNumberFormat="1" applyFont="1" applyFill="1" applyBorder="1" applyAlignment="1">
      <alignment vertical="center" wrapText="1"/>
    </xf>
    <xf numFmtId="164" fontId="6" fillId="0" borderId="8" xfId="0" applyNumberFormat="1" applyFont="1" applyBorder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opLeftCell="A9" zoomScale="85" zoomScaleNormal="85" workbookViewId="0">
      <selection sqref="A1:G32"/>
    </sheetView>
  </sheetViews>
  <sheetFormatPr baseColWidth="10" defaultColWidth="8.6640625" defaultRowHeight="14"/>
  <cols>
    <col min="1" max="1" width="24.25" customWidth="1"/>
    <col min="2" max="2" width="16" customWidth="1"/>
    <col min="3" max="3" width="15.58203125" bestFit="1" customWidth="1"/>
    <col min="4" max="4" width="18.83203125" customWidth="1"/>
    <col min="5" max="5" width="2.25" customWidth="1"/>
    <col min="6" max="6" width="22" customWidth="1"/>
    <col min="7" max="7" width="34" customWidth="1"/>
    <col min="8" max="8" width="12" customWidth="1"/>
  </cols>
  <sheetData>
    <row r="1" spans="1:8" ht="96">
      <c r="A1" s="43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 customHeight="1">
      <c r="A3" s="4" t="s">
        <v>1</v>
      </c>
      <c r="B3" s="4"/>
      <c r="C3" s="4"/>
      <c r="D3" s="4"/>
      <c r="E3" s="4"/>
      <c r="F3" s="4"/>
      <c r="G3" s="4"/>
    </row>
    <row r="4" spans="1:8">
      <c r="A4" s="2"/>
      <c r="B4" s="2"/>
      <c r="C4" s="2"/>
      <c r="D4" s="2"/>
      <c r="E4" s="2"/>
      <c r="F4" s="2"/>
      <c r="G4" s="2"/>
      <c r="H4" s="2"/>
    </row>
    <row r="5" spans="1:8" ht="26">
      <c r="A5" s="18" t="s">
        <v>2</v>
      </c>
      <c r="B5" s="19" t="s">
        <v>3</v>
      </c>
      <c r="C5" s="19" t="s">
        <v>4</v>
      </c>
      <c r="D5" s="20" t="s">
        <v>5</v>
      </c>
      <c r="E5" s="2"/>
      <c r="F5" s="18" t="s">
        <v>6</v>
      </c>
      <c r="G5" s="20" t="s">
        <v>7</v>
      </c>
      <c r="H5" s="2"/>
    </row>
    <row r="6" spans="1:8">
      <c r="A6" s="21" t="s">
        <v>8</v>
      </c>
      <c r="B6" s="12" t="s">
        <v>9</v>
      </c>
      <c r="C6" s="2"/>
      <c r="D6" s="22" t="s">
        <v>23</v>
      </c>
      <c r="E6" s="2"/>
      <c r="F6" s="21" t="s">
        <v>10</v>
      </c>
      <c r="G6" s="27" t="s">
        <v>11</v>
      </c>
      <c r="H6" s="2"/>
    </row>
    <row r="7" spans="1:8" ht="25">
      <c r="A7" s="21" t="s">
        <v>12</v>
      </c>
      <c r="B7" s="12" t="s">
        <v>13</v>
      </c>
      <c r="C7" s="2"/>
      <c r="D7" s="22" t="s">
        <v>14</v>
      </c>
      <c r="E7" s="2"/>
      <c r="F7" s="21" t="s">
        <v>15</v>
      </c>
      <c r="G7" s="27" t="s">
        <v>16</v>
      </c>
      <c r="H7" s="2"/>
    </row>
    <row r="8" spans="1:8" ht="25">
      <c r="A8" s="21" t="s">
        <v>17</v>
      </c>
      <c r="B8" s="12" t="s">
        <v>18</v>
      </c>
      <c r="C8" s="2"/>
      <c r="D8" s="22" t="s">
        <v>23</v>
      </c>
      <c r="E8" s="2"/>
      <c r="F8" s="21" t="s">
        <v>19</v>
      </c>
      <c r="G8" s="27" t="s">
        <v>20</v>
      </c>
      <c r="H8" s="2"/>
    </row>
    <row r="9" spans="1:8" ht="25">
      <c r="A9" s="21" t="s">
        <v>21</v>
      </c>
      <c r="B9" s="12" t="s">
        <v>22</v>
      </c>
      <c r="C9" s="2"/>
      <c r="D9" s="22" t="s">
        <v>23</v>
      </c>
      <c r="E9" s="2"/>
      <c r="F9" s="23" t="s">
        <v>24</v>
      </c>
      <c r="G9" s="28" t="s">
        <v>25</v>
      </c>
      <c r="H9" s="2"/>
    </row>
    <row r="10" spans="1:8" ht="25">
      <c r="A10" s="21" t="s">
        <v>26</v>
      </c>
      <c r="B10" s="12" t="s">
        <v>27</v>
      </c>
      <c r="C10" s="2"/>
      <c r="D10" s="22" t="s">
        <v>23</v>
      </c>
      <c r="E10" s="2"/>
      <c r="F10" s="2"/>
      <c r="G10" s="2"/>
      <c r="H10" s="2"/>
    </row>
    <row r="11" spans="1:8" ht="37.5">
      <c r="A11" s="21" t="s">
        <v>28</v>
      </c>
      <c r="B11" s="12" t="s">
        <v>29</v>
      </c>
      <c r="C11" s="2"/>
      <c r="D11" s="22" t="s">
        <v>30</v>
      </c>
      <c r="E11" s="2"/>
      <c r="F11" s="2"/>
      <c r="G11" s="2"/>
      <c r="H11" s="2"/>
    </row>
    <row r="12" spans="1:8" ht="25">
      <c r="A12" s="21" t="s">
        <v>31</v>
      </c>
      <c r="B12" s="12" t="s">
        <v>32</v>
      </c>
      <c r="C12" s="2"/>
      <c r="D12" s="22" t="s">
        <v>33</v>
      </c>
      <c r="E12" s="2"/>
      <c r="F12" s="2"/>
      <c r="G12" s="2"/>
      <c r="H12" s="2"/>
    </row>
    <row r="13" spans="1:8" ht="37.5">
      <c r="A13" s="21" t="s">
        <v>34</v>
      </c>
      <c r="B13" s="12" t="s">
        <v>35</v>
      </c>
      <c r="C13" s="2"/>
      <c r="D13" s="22" t="s">
        <v>36</v>
      </c>
      <c r="E13" s="2"/>
      <c r="F13" s="2"/>
      <c r="G13" s="2"/>
      <c r="H13" s="2"/>
    </row>
    <row r="14" spans="1:8" ht="37.5">
      <c r="A14" s="21" t="s">
        <v>37</v>
      </c>
      <c r="B14" s="12" t="s">
        <v>38</v>
      </c>
      <c r="C14" s="2"/>
      <c r="D14" s="22" t="s">
        <v>39</v>
      </c>
      <c r="E14" s="2"/>
      <c r="F14" s="2"/>
      <c r="G14" s="2"/>
      <c r="H14" s="2"/>
    </row>
    <row r="15" spans="1:8">
      <c r="A15" s="21" t="s">
        <v>40</v>
      </c>
      <c r="B15" s="12">
        <v>1221</v>
      </c>
      <c r="C15" s="2" t="s">
        <v>41</v>
      </c>
      <c r="D15" s="22" t="s">
        <v>42</v>
      </c>
      <c r="E15" s="2"/>
      <c r="F15" s="2"/>
      <c r="G15" s="2"/>
      <c r="H15" s="2"/>
    </row>
    <row r="16" spans="1:8">
      <c r="A16" s="21" t="s">
        <v>43</v>
      </c>
      <c r="B16" s="12">
        <v>5101.2</v>
      </c>
      <c r="C16" s="2" t="s">
        <v>41</v>
      </c>
      <c r="D16" s="22" t="s">
        <v>44</v>
      </c>
      <c r="E16" s="2"/>
      <c r="F16" s="2"/>
      <c r="G16" s="2"/>
      <c r="H16" s="2"/>
    </row>
    <row r="17" spans="1:8">
      <c r="A17" s="21" t="s">
        <v>45</v>
      </c>
      <c r="B17" s="12">
        <v>1424.4</v>
      </c>
      <c r="C17" s="2" t="s">
        <v>41</v>
      </c>
      <c r="D17" s="22" t="s">
        <v>44</v>
      </c>
      <c r="E17" s="2"/>
      <c r="F17" s="2"/>
      <c r="G17" s="2"/>
      <c r="H17" s="2"/>
    </row>
    <row r="18" spans="1:8">
      <c r="A18" s="21" t="s">
        <v>46</v>
      </c>
      <c r="B18" s="13">
        <v>1.7500000000000002E-2</v>
      </c>
      <c r="C18" s="2" t="s">
        <v>47</v>
      </c>
      <c r="D18" s="22" t="s">
        <v>48</v>
      </c>
      <c r="E18" s="2"/>
      <c r="F18" s="2"/>
      <c r="G18" s="2"/>
      <c r="H18" s="2"/>
    </row>
    <row r="19" spans="1:8">
      <c r="A19" s="21" t="s">
        <v>49</v>
      </c>
      <c r="B19" s="13">
        <v>0.23599999999999999</v>
      </c>
      <c r="C19" s="2" t="s">
        <v>47</v>
      </c>
      <c r="D19" s="22" t="s">
        <v>44</v>
      </c>
      <c r="E19" s="2"/>
      <c r="F19" s="2"/>
      <c r="G19" s="2"/>
      <c r="H19" s="2"/>
    </row>
    <row r="20" spans="1:8">
      <c r="A20" s="21" t="s">
        <v>50</v>
      </c>
      <c r="B20" s="13">
        <v>4.7E-2</v>
      </c>
      <c r="C20" s="2" t="s">
        <v>47</v>
      </c>
      <c r="D20" s="22" t="s">
        <v>44</v>
      </c>
      <c r="E20" s="2"/>
      <c r="F20" s="2"/>
      <c r="G20" s="2"/>
      <c r="H20" s="2"/>
    </row>
    <row r="21" spans="1:8">
      <c r="A21" s="21" t="s">
        <v>51</v>
      </c>
      <c r="B21" s="13">
        <v>5.5E-2</v>
      </c>
      <c r="C21" s="2" t="s">
        <v>47</v>
      </c>
      <c r="D21" s="22" t="s">
        <v>44</v>
      </c>
      <c r="E21" s="2"/>
      <c r="F21" s="2"/>
      <c r="G21" s="2"/>
      <c r="H21" s="2"/>
    </row>
    <row r="22" spans="1:8" ht="25">
      <c r="A22" s="21" t="s">
        <v>52</v>
      </c>
      <c r="B22" s="13">
        <v>1.55E-2</v>
      </c>
      <c r="C22" s="2" t="s">
        <v>47</v>
      </c>
      <c r="D22" s="22" t="s">
        <v>44</v>
      </c>
      <c r="E22" s="2"/>
      <c r="F22" s="2"/>
      <c r="G22" s="2"/>
      <c r="H22" s="2"/>
    </row>
    <row r="23" spans="1:8">
      <c r="A23" s="21" t="s">
        <v>53</v>
      </c>
      <c r="B23" s="13">
        <v>6.0000000000000001E-3</v>
      </c>
      <c r="C23" s="2" t="s">
        <v>47</v>
      </c>
      <c r="D23" s="22" t="s">
        <v>44</v>
      </c>
      <c r="E23" s="2"/>
      <c r="F23" s="2"/>
      <c r="G23" s="2"/>
      <c r="H23" s="2"/>
    </row>
    <row r="24" spans="1:8" ht="25">
      <c r="A24" s="21" t="s">
        <v>54</v>
      </c>
      <c r="B24" s="13">
        <v>1E-3</v>
      </c>
      <c r="C24" s="2" t="s">
        <v>47</v>
      </c>
      <c r="D24" s="22" t="s">
        <v>44</v>
      </c>
      <c r="E24" s="2"/>
      <c r="F24" s="2"/>
      <c r="G24" s="2"/>
      <c r="H24" s="2"/>
    </row>
    <row r="25" spans="1:8">
      <c r="A25" s="21" t="s">
        <v>55</v>
      </c>
      <c r="B25" s="13">
        <v>2E-3</v>
      </c>
      <c r="C25" s="2" t="s">
        <v>47</v>
      </c>
      <c r="D25" s="22" t="s">
        <v>44</v>
      </c>
      <c r="E25" s="2"/>
      <c r="F25" s="2"/>
      <c r="G25" s="2"/>
      <c r="H25" s="2"/>
    </row>
    <row r="26" spans="1:8">
      <c r="A26" s="21" t="s">
        <v>56</v>
      </c>
      <c r="B26" s="13">
        <v>7.4999999999999997E-3</v>
      </c>
      <c r="C26" s="2" t="s">
        <v>47</v>
      </c>
      <c r="D26" s="22" t="s">
        <v>44</v>
      </c>
      <c r="E26" s="2"/>
      <c r="F26" s="2"/>
      <c r="G26" s="2"/>
      <c r="H26" s="2"/>
    </row>
    <row r="27" spans="1:8">
      <c r="A27" s="21" t="s">
        <v>57</v>
      </c>
      <c r="B27" s="13">
        <v>1.5E-3</v>
      </c>
      <c r="C27" s="2" t="s">
        <v>47</v>
      </c>
      <c r="D27" s="22" t="s">
        <v>44</v>
      </c>
      <c r="E27" s="2"/>
      <c r="F27" s="2"/>
      <c r="G27" s="2"/>
      <c r="H27" s="2"/>
    </row>
    <row r="28" spans="1:8">
      <c r="A28" s="21" t="s">
        <v>58</v>
      </c>
      <c r="B28" s="13">
        <v>0.23599999999999999</v>
      </c>
      <c r="C28" s="2" t="s">
        <v>47</v>
      </c>
      <c r="D28" s="22" t="s">
        <v>44</v>
      </c>
      <c r="E28" s="2"/>
      <c r="F28" s="2"/>
      <c r="G28" s="2"/>
      <c r="H28" s="2"/>
    </row>
    <row r="29" spans="1:8">
      <c r="A29" s="21" t="s">
        <v>59</v>
      </c>
      <c r="B29" s="13">
        <v>4.7E-2</v>
      </c>
      <c r="C29" s="2" t="s">
        <v>47</v>
      </c>
      <c r="D29" s="22" t="s">
        <v>44</v>
      </c>
      <c r="E29" s="2"/>
      <c r="F29" s="2"/>
      <c r="G29" s="2"/>
      <c r="H29" s="2"/>
    </row>
    <row r="30" spans="1:8" ht="37.5">
      <c r="A30" s="21" t="s">
        <v>60</v>
      </c>
      <c r="B30" s="12">
        <v>0</v>
      </c>
      <c r="C30" s="2" t="s">
        <v>47</v>
      </c>
      <c r="D30" s="22" t="s">
        <v>61</v>
      </c>
      <c r="E30" s="2"/>
      <c r="F30" s="2"/>
      <c r="G30" s="2"/>
      <c r="H30" s="2"/>
    </row>
    <row r="31" spans="1:8" ht="37.5">
      <c r="A31" s="21" t="s">
        <v>62</v>
      </c>
      <c r="B31" s="12">
        <v>0</v>
      </c>
      <c r="C31" s="2" t="s">
        <v>47</v>
      </c>
      <c r="D31" s="22" t="s">
        <v>61</v>
      </c>
      <c r="E31" s="2"/>
      <c r="F31" s="2"/>
      <c r="G31" s="2"/>
      <c r="H31" s="2"/>
    </row>
    <row r="32" spans="1:8" ht="37.5">
      <c r="A32" s="23" t="s">
        <v>63</v>
      </c>
      <c r="B32" s="24">
        <v>0</v>
      </c>
      <c r="C32" s="25" t="s">
        <v>47</v>
      </c>
      <c r="D32" s="26" t="s">
        <v>61</v>
      </c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zoomScaleNormal="100" workbookViewId="0">
      <selection activeCell="I22" sqref="I22"/>
    </sheetView>
  </sheetViews>
  <sheetFormatPr baseColWidth="10" defaultColWidth="8.6640625" defaultRowHeight="14"/>
  <cols>
    <col min="1" max="1" width="24.25" customWidth="1"/>
    <col min="2" max="2" width="9.4140625" customWidth="1"/>
    <col min="3" max="3" width="6.33203125" customWidth="1"/>
    <col min="4" max="4" width="8.58203125" customWidth="1"/>
    <col min="5" max="5" width="9" customWidth="1"/>
    <col min="6" max="6" width="8.25" customWidth="1"/>
    <col min="7" max="7" width="26.08203125" customWidth="1"/>
    <col min="8" max="8" width="12" customWidth="1"/>
  </cols>
  <sheetData>
    <row r="1" spans="1:8" ht="96">
      <c r="A1" s="43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 customHeight="1">
      <c r="A3" s="4" t="s">
        <v>64</v>
      </c>
      <c r="B3" s="4"/>
      <c r="C3" s="4"/>
      <c r="D3" s="4"/>
      <c r="E3" s="4"/>
      <c r="F3" s="4"/>
      <c r="G3" s="4"/>
      <c r="H3" s="4"/>
    </row>
    <row r="4" spans="1:8">
      <c r="A4" s="2"/>
      <c r="B4" s="2"/>
      <c r="C4" s="2"/>
      <c r="D4" s="2"/>
      <c r="E4" s="2"/>
      <c r="F4" s="2"/>
      <c r="G4" s="2"/>
      <c r="H4" s="2"/>
    </row>
    <row r="5" spans="1:8" s="1" customFormat="1" ht="39">
      <c r="A5" s="18" t="s">
        <v>65</v>
      </c>
      <c r="B5" s="19" t="s">
        <v>66</v>
      </c>
      <c r="C5" s="19" t="s">
        <v>67</v>
      </c>
      <c r="D5" s="19" t="s">
        <v>68</v>
      </c>
      <c r="E5" s="19" t="s">
        <v>69</v>
      </c>
      <c r="F5" s="19" t="s">
        <v>70</v>
      </c>
      <c r="G5" s="20" t="s">
        <v>71</v>
      </c>
      <c r="H5" s="2"/>
    </row>
    <row r="6" spans="1:8">
      <c r="A6" s="21" t="s">
        <v>72</v>
      </c>
      <c r="B6" s="5">
        <v>1262.95</v>
      </c>
      <c r="C6" s="5"/>
      <c r="D6" s="5"/>
      <c r="E6" s="5"/>
      <c r="F6" s="2"/>
      <c r="G6" s="22"/>
      <c r="H6" s="2"/>
    </row>
    <row r="7" spans="1:8">
      <c r="A7" s="21" t="s">
        <v>73</v>
      </c>
      <c r="B7" s="5">
        <v>120</v>
      </c>
      <c r="C7" s="5"/>
      <c r="D7" s="5"/>
      <c r="E7" s="5"/>
      <c r="F7" s="2"/>
      <c r="G7" s="22"/>
      <c r="H7" s="2"/>
    </row>
    <row r="8" spans="1:8">
      <c r="A8" s="21" t="s">
        <v>74</v>
      </c>
      <c r="B8" s="5">
        <v>80</v>
      </c>
      <c r="C8" s="5"/>
      <c r="D8" s="5"/>
      <c r="E8" s="5"/>
      <c r="F8" s="2"/>
      <c r="G8" s="22"/>
      <c r="H8" s="2"/>
    </row>
    <row r="9" spans="1:8">
      <c r="A9" s="21" t="s">
        <v>75</v>
      </c>
      <c r="B9" s="5">
        <v>60</v>
      </c>
      <c r="C9" s="5"/>
      <c r="D9" s="5"/>
      <c r="E9" s="5"/>
      <c r="F9" s="2"/>
      <c r="G9" s="22"/>
      <c r="H9" s="2"/>
    </row>
    <row r="10" spans="1:8">
      <c r="A10" s="21" t="s">
        <v>76</v>
      </c>
      <c r="B10" s="5">
        <v>315.74</v>
      </c>
      <c r="C10" s="5"/>
      <c r="D10" s="5"/>
      <c r="E10" s="5"/>
      <c r="F10" s="2"/>
      <c r="G10" s="22" t="s">
        <v>77</v>
      </c>
      <c r="H10" s="2"/>
    </row>
    <row r="11" spans="1:8">
      <c r="A11" s="21"/>
      <c r="B11" s="5"/>
      <c r="C11" s="5"/>
      <c r="D11" s="5"/>
      <c r="E11" s="5"/>
      <c r="F11" s="2"/>
      <c r="G11" s="22"/>
      <c r="H11" s="2"/>
    </row>
    <row r="12" spans="1:8">
      <c r="A12" s="29" t="s">
        <v>78</v>
      </c>
      <c r="B12" s="7"/>
      <c r="C12" s="7"/>
      <c r="D12" s="7"/>
      <c r="E12" s="7"/>
      <c r="F12" s="6"/>
      <c r="G12" s="30"/>
      <c r="H12" s="2"/>
    </row>
    <row r="13" spans="1:8">
      <c r="A13" s="21" t="s">
        <v>79</v>
      </c>
      <c r="B13" s="5">
        <v>1838.69</v>
      </c>
      <c r="C13" s="3">
        <v>4.7E-2</v>
      </c>
      <c r="D13" s="15">
        <f>B13*C13</f>
        <v>86.418430000000001</v>
      </c>
      <c r="E13" s="15">
        <f>B13*'00_Datos_y_Supuestos'!$B$19</f>
        <v>433.93083999999999</v>
      </c>
      <c r="F13" s="2" t="s">
        <v>80</v>
      </c>
      <c r="G13" s="22" t="s">
        <v>81</v>
      </c>
      <c r="H13" s="2"/>
    </row>
    <row r="14" spans="1:8">
      <c r="A14" s="21" t="s">
        <v>82</v>
      </c>
      <c r="B14" s="5">
        <v>1838.69</v>
      </c>
      <c r="C14" s="3">
        <v>1.55E-2</v>
      </c>
      <c r="D14" s="15">
        <f>B14*C14</f>
        <v>28.499694999999999</v>
      </c>
      <c r="E14" s="15">
        <f>B14*'00_Datos_y_Supuestos'!$B$21</f>
        <v>101.12795</v>
      </c>
      <c r="F14" s="2" t="s">
        <v>80</v>
      </c>
      <c r="G14" s="22" t="s">
        <v>83</v>
      </c>
      <c r="H14" s="2"/>
    </row>
    <row r="15" spans="1:8">
      <c r="A15" s="21" t="s">
        <v>84</v>
      </c>
      <c r="B15" s="5">
        <v>1838.69</v>
      </c>
      <c r="C15" s="3">
        <v>1E-3</v>
      </c>
      <c r="D15" s="15">
        <f>B15*C15</f>
        <v>1.8386900000000002</v>
      </c>
      <c r="E15" s="15">
        <f>B15*'00_Datos_y_Supuestos'!$B$23</f>
        <v>11.03214</v>
      </c>
      <c r="F15" s="2" t="s">
        <v>80</v>
      </c>
      <c r="G15" s="22"/>
      <c r="H15" s="2"/>
    </row>
    <row r="16" spans="1:8">
      <c r="A16" s="21" t="s">
        <v>85</v>
      </c>
      <c r="B16" s="5">
        <v>1838.69</v>
      </c>
      <c r="C16" s="3">
        <v>1.5E-3</v>
      </c>
      <c r="D16" s="15">
        <f>B16*C16</f>
        <v>2.758035</v>
      </c>
      <c r="E16" s="15">
        <f>B16*'00_Datos_y_Supuestos'!$B$26</f>
        <v>13.790175</v>
      </c>
      <c r="F16" s="2" t="s">
        <v>80</v>
      </c>
      <c r="G16" s="22"/>
      <c r="H16" s="2"/>
    </row>
    <row r="17" spans="1:8">
      <c r="A17" s="21" t="s">
        <v>86</v>
      </c>
      <c r="B17" s="5">
        <v>1838.69</v>
      </c>
      <c r="C17" s="3"/>
      <c r="D17" s="15"/>
      <c r="E17" s="15">
        <f>B17*'00_Datos_y_Supuestos'!$B$25</f>
        <v>3.6773800000000003</v>
      </c>
      <c r="F17" s="2" t="s">
        <v>80</v>
      </c>
      <c r="G17" s="22" t="s">
        <v>87</v>
      </c>
      <c r="H17" s="2"/>
    </row>
    <row r="18" spans="1:8">
      <c r="A18" s="21" t="s">
        <v>88</v>
      </c>
      <c r="B18" s="5">
        <v>1838.69</v>
      </c>
      <c r="C18" s="3"/>
      <c r="D18" s="15"/>
      <c r="E18" s="15">
        <f>B18*'00_Datos_y_Supuestos'!$B$18</f>
        <v>32.177075000000002</v>
      </c>
      <c r="F18" s="2" t="s">
        <v>80</v>
      </c>
      <c r="G18" s="22" t="s">
        <v>87</v>
      </c>
      <c r="H18" s="2"/>
    </row>
    <row r="19" spans="1:8">
      <c r="A19" s="21"/>
      <c r="B19" s="5"/>
      <c r="C19" s="5"/>
      <c r="D19" s="5"/>
      <c r="E19" s="5"/>
      <c r="F19" s="2"/>
      <c r="G19" s="22"/>
      <c r="H19" s="2"/>
    </row>
    <row r="20" spans="1:8">
      <c r="A20" s="31" t="s">
        <v>89</v>
      </c>
      <c r="B20" s="9"/>
      <c r="C20" s="9"/>
      <c r="D20" s="9"/>
      <c r="E20" s="9"/>
      <c r="F20" s="8"/>
      <c r="G20" s="32"/>
      <c r="H20" s="2"/>
    </row>
    <row r="21" spans="1:8">
      <c r="A21" s="21" t="s">
        <v>90</v>
      </c>
      <c r="B21" s="15">
        <f>SUM(B6:B9)</f>
        <v>1522.95</v>
      </c>
      <c r="C21" s="5"/>
      <c r="D21" s="5"/>
      <c r="E21" s="5"/>
      <c r="F21" s="2"/>
      <c r="G21" s="22" t="s">
        <v>91</v>
      </c>
      <c r="H21" s="2"/>
    </row>
    <row r="22" spans="1:8">
      <c r="A22" s="21" t="s">
        <v>92</v>
      </c>
      <c r="B22" s="15">
        <f>SUM(D13:D16)</f>
        <v>119.51485000000001</v>
      </c>
      <c r="C22" s="5"/>
      <c r="D22" s="5"/>
      <c r="E22" s="5"/>
      <c r="F22" s="2" t="s">
        <v>80</v>
      </c>
      <c r="G22" s="22" t="s">
        <v>93</v>
      </c>
      <c r="H22" s="2"/>
    </row>
    <row r="23" spans="1:8">
      <c r="A23" s="21" t="s">
        <v>94</v>
      </c>
      <c r="B23" s="15">
        <f>B21*'00_Datos_y_Supuestos'!$B$30</f>
        <v>0</v>
      </c>
      <c r="C23" s="5"/>
      <c r="D23" s="5"/>
      <c r="E23" s="5"/>
      <c r="F23" s="2" t="s">
        <v>95</v>
      </c>
      <c r="G23" s="22" t="s">
        <v>96</v>
      </c>
      <c r="H23" s="2"/>
    </row>
    <row r="24" spans="1:8">
      <c r="A24" s="21" t="s">
        <v>97</v>
      </c>
      <c r="B24" s="15">
        <f>B21-B22-B23</f>
        <v>1403.43515</v>
      </c>
      <c r="C24" s="5"/>
      <c r="D24" s="5"/>
      <c r="E24" s="5"/>
      <c r="F24" s="2"/>
      <c r="G24" s="22"/>
      <c r="H24" s="2"/>
    </row>
    <row r="25" spans="1:8">
      <c r="A25" s="23" t="s">
        <v>98</v>
      </c>
      <c r="B25" s="33">
        <f>B21+SUM(E13:E18)</f>
        <v>2118.6855599999999</v>
      </c>
      <c r="C25" s="34"/>
      <c r="D25" s="34"/>
      <c r="E25" s="34"/>
      <c r="F25" s="25"/>
      <c r="G25" s="26" t="s">
        <v>99</v>
      </c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zoomScaleNormal="100" workbookViewId="0">
      <selection activeCell="I12" sqref="I12"/>
    </sheetView>
  </sheetViews>
  <sheetFormatPr baseColWidth="10" defaultColWidth="8.6640625" defaultRowHeight="14"/>
  <cols>
    <col min="1" max="1" width="23.33203125" customWidth="1"/>
    <col min="2" max="2" width="9.58203125" customWidth="1"/>
    <col min="3" max="3" width="7" customWidth="1"/>
    <col min="4" max="4" width="9" customWidth="1"/>
    <col min="5" max="5" width="8.9140625" customWidth="1"/>
    <col min="6" max="6" width="5.33203125" customWidth="1"/>
    <col min="7" max="7" width="20.5" customWidth="1"/>
    <col min="8" max="8" width="12" customWidth="1"/>
  </cols>
  <sheetData>
    <row r="1" spans="1:8" ht="108">
      <c r="A1" s="43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 customHeight="1">
      <c r="A3" s="4" t="s">
        <v>100</v>
      </c>
      <c r="B3" s="4"/>
      <c r="C3" s="4"/>
      <c r="D3" s="4"/>
      <c r="E3" s="4"/>
      <c r="F3" s="4"/>
      <c r="G3" s="4"/>
      <c r="H3" s="4"/>
    </row>
    <row r="4" spans="1:8">
      <c r="A4" s="2"/>
      <c r="B4" s="2"/>
      <c r="C4" s="2"/>
      <c r="D4" s="2"/>
      <c r="E4" s="2"/>
      <c r="F4" s="2"/>
      <c r="G4" s="2"/>
      <c r="H4" s="2"/>
    </row>
    <row r="5" spans="1:8" ht="33.5" customHeight="1">
      <c r="A5" s="18" t="s">
        <v>65</v>
      </c>
      <c r="B5" s="19" t="s">
        <v>66</v>
      </c>
      <c r="C5" s="19" t="s">
        <v>67</v>
      </c>
      <c r="D5" s="19" t="s">
        <v>68</v>
      </c>
      <c r="E5" s="19" t="s">
        <v>69</v>
      </c>
      <c r="F5" s="19" t="s">
        <v>70</v>
      </c>
      <c r="G5" s="20" t="s">
        <v>71</v>
      </c>
      <c r="H5" s="2"/>
    </row>
    <row r="6" spans="1:8">
      <c r="A6" s="21" t="s">
        <v>72</v>
      </c>
      <c r="B6" s="5">
        <v>1396.65</v>
      </c>
      <c r="C6" s="5"/>
      <c r="D6" s="5"/>
      <c r="E6" s="5"/>
      <c r="F6" s="2"/>
      <c r="G6" s="22"/>
      <c r="H6" s="2"/>
    </row>
    <row r="7" spans="1:8">
      <c r="A7" s="21" t="s">
        <v>101</v>
      </c>
      <c r="B7" s="5">
        <v>100</v>
      </c>
      <c r="C7" s="5"/>
      <c r="D7" s="5"/>
      <c r="E7" s="5"/>
      <c r="F7" s="2"/>
      <c r="G7" s="22"/>
      <c r="H7" s="2"/>
    </row>
    <row r="8" spans="1:8">
      <c r="A8" s="21" t="s">
        <v>102</v>
      </c>
      <c r="B8" s="5">
        <v>150</v>
      </c>
      <c r="C8" s="5"/>
      <c r="D8" s="5"/>
      <c r="E8" s="5"/>
      <c r="F8" s="2"/>
      <c r="G8" s="22"/>
      <c r="H8" s="2"/>
    </row>
    <row r="9" spans="1:8">
      <c r="A9" s="21" t="s">
        <v>75</v>
      </c>
      <c r="B9" s="5">
        <v>60</v>
      </c>
      <c r="C9" s="5"/>
      <c r="D9" s="5"/>
      <c r="E9" s="5"/>
      <c r="F9" s="2"/>
      <c r="G9" s="22"/>
      <c r="H9" s="2"/>
    </row>
    <row r="10" spans="1:8" ht="25">
      <c r="A10" s="21" t="s">
        <v>76</v>
      </c>
      <c r="B10" s="5">
        <v>349.16</v>
      </c>
      <c r="C10" s="5"/>
      <c r="D10" s="5"/>
      <c r="E10" s="5"/>
      <c r="F10" s="2"/>
      <c r="G10" s="22" t="s">
        <v>77</v>
      </c>
      <c r="H10" s="2"/>
    </row>
    <row r="11" spans="1:8">
      <c r="A11" s="21" t="s">
        <v>103</v>
      </c>
      <c r="B11" s="5">
        <v>39.97</v>
      </c>
      <c r="C11" s="5"/>
      <c r="D11" s="5"/>
      <c r="E11" s="5"/>
      <c r="F11" s="2"/>
      <c r="G11" s="22"/>
      <c r="H11" s="2"/>
    </row>
    <row r="12" spans="1:8">
      <c r="A12" s="29" t="s">
        <v>78</v>
      </c>
      <c r="B12" s="7"/>
      <c r="C12" s="7"/>
      <c r="D12" s="7"/>
      <c r="E12" s="7"/>
      <c r="F12" s="6"/>
      <c r="G12" s="30"/>
      <c r="H12" s="2"/>
    </row>
    <row r="13" spans="1:8">
      <c r="A13" s="21" t="s">
        <v>79</v>
      </c>
      <c r="B13" s="5">
        <v>2055.81</v>
      </c>
      <c r="C13" s="3">
        <v>4.7E-2</v>
      </c>
      <c r="D13" s="15">
        <f>B13*C13</f>
        <v>96.623069999999998</v>
      </c>
      <c r="E13" s="15">
        <f>B13*'00_Datos_y_Supuestos'!$B$19</f>
        <v>485.17115999999999</v>
      </c>
      <c r="F13" s="2" t="s">
        <v>80</v>
      </c>
      <c r="G13" s="22"/>
      <c r="H13" s="2"/>
    </row>
    <row r="14" spans="1:8">
      <c r="A14" s="21" t="s">
        <v>82</v>
      </c>
      <c r="B14" s="5">
        <v>2095.7800000000002</v>
      </c>
      <c r="C14" s="3">
        <v>1.55E-2</v>
      </c>
      <c r="D14" s="15">
        <f>B14*C14</f>
        <v>32.484590000000004</v>
      </c>
      <c r="E14" s="15">
        <f>B14*'00_Datos_y_Supuestos'!$B$21</f>
        <v>115.26790000000001</v>
      </c>
      <c r="F14" s="2" t="s">
        <v>80</v>
      </c>
      <c r="G14" s="22"/>
      <c r="H14" s="2"/>
    </row>
    <row r="15" spans="1:8">
      <c r="A15" s="21" t="s">
        <v>84</v>
      </c>
      <c r="B15" s="5">
        <v>2095.7800000000002</v>
      </c>
      <c r="C15" s="3">
        <v>1E-3</v>
      </c>
      <c r="D15" s="15">
        <f>B15*C15</f>
        <v>2.0957800000000004</v>
      </c>
      <c r="E15" s="15">
        <f>B15*'00_Datos_y_Supuestos'!$B$23</f>
        <v>12.574680000000001</v>
      </c>
      <c r="F15" s="2" t="s">
        <v>80</v>
      </c>
      <c r="G15" s="22"/>
      <c r="H15" s="2"/>
    </row>
    <row r="16" spans="1:8">
      <c r="A16" s="21" t="s">
        <v>85</v>
      </c>
      <c r="B16" s="5">
        <v>2055.81</v>
      </c>
      <c r="C16" s="3">
        <v>1.5E-3</v>
      </c>
      <c r="D16" s="15">
        <f>B16*C16</f>
        <v>3.0837149999999998</v>
      </c>
      <c r="E16" s="15">
        <f>B16*'00_Datos_y_Supuestos'!$B$26</f>
        <v>15.418574999999999</v>
      </c>
      <c r="F16" s="2" t="s">
        <v>80</v>
      </c>
      <c r="G16" s="22"/>
      <c r="H16" s="2"/>
    </row>
    <row r="17" spans="1:8">
      <c r="A17" s="21" t="s">
        <v>86</v>
      </c>
      <c r="B17" s="5">
        <v>2095.7800000000002</v>
      </c>
      <c r="C17" s="3"/>
      <c r="D17" s="15"/>
      <c r="E17" s="15">
        <f>B17*'00_Datos_y_Supuestos'!$B$25</f>
        <v>4.1915600000000008</v>
      </c>
      <c r="F17" s="2" t="s">
        <v>80</v>
      </c>
      <c r="G17" s="22" t="s">
        <v>87</v>
      </c>
      <c r="H17" s="2"/>
    </row>
    <row r="18" spans="1:8">
      <c r="A18" s="21" t="s">
        <v>88</v>
      </c>
      <c r="B18" s="5">
        <v>2095.7800000000002</v>
      </c>
      <c r="C18" s="3"/>
      <c r="D18" s="15"/>
      <c r="E18" s="15">
        <f>B18*'00_Datos_y_Supuestos'!$B$18</f>
        <v>36.676150000000007</v>
      </c>
      <c r="F18" s="2" t="s">
        <v>80</v>
      </c>
      <c r="G18" s="22" t="s">
        <v>87</v>
      </c>
      <c r="H18" s="2"/>
    </row>
    <row r="19" spans="1:8" ht="25">
      <c r="A19" s="21" t="s">
        <v>104</v>
      </c>
      <c r="B19" s="5">
        <v>39.97</v>
      </c>
      <c r="C19" s="3">
        <v>4.7E-2</v>
      </c>
      <c r="D19" s="15">
        <f>B19*C19</f>
        <v>1.87859</v>
      </c>
      <c r="E19" s="15">
        <f>B19*'00_Datos_y_Supuestos'!$B$28</f>
        <v>9.4329199999999993</v>
      </c>
      <c r="F19" s="2" t="s">
        <v>80</v>
      </c>
      <c r="G19" s="22" t="s">
        <v>105</v>
      </c>
      <c r="H19" s="2"/>
    </row>
    <row r="20" spans="1:8">
      <c r="A20" s="21"/>
      <c r="B20" s="5"/>
      <c r="C20" s="5"/>
      <c r="D20" s="5"/>
      <c r="E20" s="5"/>
      <c r="F20" s="2"/>
      <c r="G20" s="22"/>
      <c r="H20" s="2"/>
    </row>
    <row r="21" spans="1:8">
      <c r="A21" s="31" t="s">
        <v>89</v>
      </c>
      <c r="B21" s="9"/>
      <c r="C21" s="9"/>
      <c r="D21" s="9"/>
      <c r="E21" s="9"/>
      <c r="F21" s="8"/>
      <c r="G21" s="32"/>
      <c r="H21" s="2"/>
    </row>
    <row r="22" spans="1:8">
      <c r="A22" s="21" t="s">
        <v>90</v>
      </c>
      <c r="B22" s="15">
        <f>SUM(B6:B9)+B11</f>
        <v>1746.6200000000001</v>
      </c>
      <c r="C22" s="5"/>
      <c r="D22" s="5"/>
      <c r="E22" s="5"/>
      <c r="F22" s="2"/>
      <c r="G22" s="22" t="s">
        <v>106</v>
      </c>
      <c r="H22" s="2"/>
    </row>
    <row r="23" spans="1:8">
      <c r="A23" s="21" t="s">
        <v>92</v>
      </c>
      <c r="B23" s="15">
        <f>SUM(D13:D16)+D19</f>
        <v>136.16574500000002</v>
      </c>
      <c r="C23" s="5"/>
      <c r="D23" s="5"/>
      <c r="E23" s="5"/>
      <c r="F23" s="2" t="s">
        <v>80</v>
      </c>
      <c r="G23" s="22"/>
      <c r="H23" s="2"/>
    </row>
    <row r="24" spans="1:8">
      <c r="A24" s="21" t="s">
        <v>94</v>
      </c>
      <c r="B24" s="15">
        <f>B22*'00_Datos_y_Supuestos'!$B$31</f>
        <v>0</v>
      </c>
      <c r="C24" s="5"/>
      <c r="D24" s="5"/>
      <c r="E24" s="5"/>
      <c r="F24" s="2" t="s">
        <v>95</v>
      </c>
      <c r="G24" s="22"/>
      <c r="H24" s="2"/>
    </row>
    <row r="25" spans="1:8">
      <c r="A25" s="21" t="s">
        <v>97</v>
      </c>
      <c r="B25" s="15">
        <f>B22-B23-B24</f>
        <v>1610.4542550000001</v>
      </c>
      <c r="C25" s="5"/>
      <c r="D25" s="5"/>
      <c r="E25" s="5"/>
      <c r="F25" s="2"/>
      <c r="G25" s="22"/>
      <c r="H25" s="2"/>
    </row>
    <row r="26" spans="1:8">
      <c r="A26" s="23" t="s">
        <v>98</v>
      </c>
      <c r="B26" s="33">
        <f>B22+SUM(E13:E19)</f>
        <v>2425.3529450000001</v>
      </c>
      <c r="C26" s="34"/>
      <c r="D26" s="34"/>
      <c r="E26" s="34"/>
      <c r="F26" s="25"/>
      <c r="G26" s="26" t="s">
        <v>99</v>
      </c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zoomScaleNormal="100" workbookViewId="0"/>
  </sheetViews>
  <sheetFormatPr baseColWidth="10" defaultColWidth="8.6640625" defaultRowHeight="14"/>
  <cols>
    <col min="1" max="1" width="26.33203125" customWidth="1"/>
    <col min="2" max="2" width="16.25" customWidth="1"/>
    <col min="3" max="6" width="6.4140625" customWidth="1"/>
    <col min="7" max="7" width="18.25" customWidth="1"/>
    <col min="8" max="8" width="12" customWidth="1"/>
  </cols>
  <sheetData>
    <row r="1" spans="1:8" ht="96">
      <c r="A1" s="43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 customHeight="1">
      <c r="A3" s="4" t="s">
        <v>107</v>
      </c>
      <c r="B3" s="4"/>
      <c r="C3" s="4"/>
      <c r="D3" s="4"/>
      <c r="E3" s="4"/>
      <c r="F3" s="4"/>
      <c r="G3" s="4"/>
      <c r="H3" s="4"/>
    </row>
    <row r="4" spans="1:8">
      <c r="A4" s="2"/>
      <c r="B4" s="2"/>
      <c r="C4" s="2"/>
      <c r="D4" s="2"/>
      <c r="E4" s="2"/>
      <c r="F4" s="2"/>
      <c r="G4" s="2"/>
      <c r="H4" s="2"/>
    </row>
    <row r="5" spans="1:8" ht="39">
      <c r="A5" s="18" t="s">
        <v>65</v>
      </c>
      <c r="B5" s="19" t="s">
        <v>66</v>
      </c>
      <c r="C5" s="19" t="s">
        <v>108</v>
      </c>
      <c r="D5" s="19" t="s">
        <v>68</v>
      </c>
      <c r="E5" s="19" t="s">
        <v>69</v>
      </c>
      <c r="F5" s="19" t="s">
        <v>70</v>
      </c>
      <c r="G5" s="20" t="s">
        <v>71</v>
      </c>
      <c r="H5" s="2"/>
    </row>
    <row r="6" spans="1:8">
      <c r="A6" s="21" t="s">
        <v>109</v>
      </c>
      <c r="B6" s="5">
        <v>982.03</v>
      </c>
      <c r="C6" s="5"/>
      <c r="D6" s="5"/>
      <c r="E6" s="5"/>
      <c r="F6" s="2"/>
      <c r="G6" s="22" t="s">
        <v>110</v>
      </c>
      <c r="H6" s="2"/>
    </row>
    <row r="7" spans="1:8">
      <c r="A7" s="21" t="s">
        <v>111</v>
      </c>
      <c r="B7" s="5">
        <v>80</v>
      </c>
      <c r="C7" s="5"/>
      <c r="D7" s="5"/>
      <c r="E7" s="5"/>
      <c r="F7" s="2"/>
      <c r="G7" s="22"/>
      <c r="H7" s="2"/>
    </row>
    <row r="8" spans="1:8" ht="25">
      <c r="A8" s="21" t="s">
        <v>112</v>
      </c>
      <c r="B8" s="5">
        <v>50</v>
      </c>
      <c r="C8" s="5"/>
      <c r="D8" s="5"/>
      <c r="E8" s="5"/>
      <c r="F8" s="2"/>
      <c r="G8" s="22"/>
      <c r="H8" s="2"/>
    </row>
    <row r="9" spans="1:8">
      <c r="A9" s="21" t="s">
        <v>76</v>
      </c>
      <c r="B9" s="5">
        <v>245.51</v>
      </c>
      <c r="C9" s="5"/>
      <c r="D9" s="5"/>
      <c r="E9" s="5"/>
      <c r="F9" s="2"/>
      <c r="G9" s="22"/>
      <c r="H9" s="2"/>
    </row>
    <row r="10" spans="1:8">
      <c r="A10" s="21" t="s">
        <v>75</v>
      </c>
      <c r="B10" s="5">
        <v>60</v>
      </c>
      <c r="C10" s="5"/>
      <c r="D10" s="5"/>
      <c r="E10" s="5"/>
      <c r="F10" s="2"/>
      <c r="G10" s="22"/>
      <c r="H10" s="2"/>
    </row>
    <row r="11" spans="1:8">
      <c r="A11" s="21"/>
      <c r="B11" s="5"/>
      <c r="C11" s="5"/>
      <c r="D11" s="5"/>
      <c r="E11" s="5"/>
      <c r="F11" s="2"/>
      <c r="G11" s="22"/>
      <c r="H11" s="2"/>
    </row>
    <row r="12" spans="1:8" ht="26">
      <c r="A12" s="29" t="s">
        <v>113</v>
      </c>
      <c r="B12" s="7"/>
      <c r="C12" s="7"/>
      <c r="D12" s="7"/>
      <c r="E12" s="7"/>
      <c r="F12" s="6"/>
      <c r="G12" s="30"/>
      <c r="H12" s="2"/>
    </row>
    <row r="13" spans="1:8">
      <c r="A13" s="21" t="s">
        <v>79</v>
      </c>
      <c r="B13" s="5" t="s">
        <v>114</v>
      </c>
      <c r="C13" s="5"/>
      <c r="D13" s="5">
        <v>11.51</v>
      </c>
      <c r="E13" s="5">
        <v>57.72</v>
      </c>
      <c r="F13" s="2" t="s">
        <v>80</v>
      </c>
      <c r="G13" s="22" t="s">
        <v>115</v>
      </c>
      <c r="H13" s="2"/>
    </row>
    <row r="14" spans="1:8">
      <c r="A14" s="21" t="s">
        <v>88</v>
      </c>
      <c r="B14" s="5" t="s">
        <v>114</v>
      </c>
      <c r="C14" s="5"/>
      <c r="D14" s="5">
        <v>0</v>
      </c>
      <c r="E14" s="5">
        <v>7.95</v>
      </c>
      <c r="F14" s="2" t="s">
        <v>80</v>
      </c>
      <c r="G14" s="22" t="s">
        <v>87</v>
      </c>
      <c r="H14" s="2"/>
    </row>
    <row r="15" spans="1:8" ht="25">
      <c r="A15" s="21" t="s">
        <v>82</v>
      </c>
      <c r="B15" s="5" t="s">
        <v>116</v>
      </c>
      <c r="C15" s="5"/>
      <c r="D15" s="5">
        <v>22.08</v>
      </c>
      <c r="E15" s="5">
        <v>78.34</v>
      </c>
      <c r="F15" s="2" t="s">
        <v>80</v>
      </c>
      <c r="G15" s="22" t="s">
        <v>117</v>
      </c>
      <c r="H15" s="2"/>
    </row>
    <row r="16" spans="1:8">
      <c r="A16" s="21" t="s">
        <v>86</v>
      </c>
      <c r="B16" s="5" t="s">
        <v>114</v>
      </c>
      <c r="C16" s="5"/>
      <c r="D16" s="5">
        <v>0</v>
      </c>
      <c r="E16" s="5">
        <v>4.38</v>
      </c>
      <c r="F16" s="2" t="s">
        <v>80</v>
      </c>
      <c r="G16" s="22" t="s">
        <v>87</v>
      </c>
      <c r="H16" s="2"/>
    </row>
    <row r="17" spans="1:8">
      <c r="A17" s="21" t="s">
        <v>84</v>
      </c>
      <c r="B17" s="5" t="s">
        <v>114</v>
      </c>
      <c r="C17" s="5"/>
      <c r="D17" s="5">
        <v>0.28000000000000003</v>
      </c>
      <c r="E17" s="5">
        <v>2.16</v>
      </c>
      <c r="F17" s="2" t="s">
        <v>80</v>
      </c>
      <c r="G17" s="22"/>
      <c r="H17" s="2"/>
    </row>
    <row r="18" spans="1:8" ht="25">
      <c r="A18" s="21" t="s">
        <v>85</v>
      </c>
      <c r="B18" s="5" t="s">
        <v>116</v>
      </c>
      <c r="C18" s="5"/>
      <c r="D18" s="5">
        <v>2.14</v>
      </c>
      <c r="E18" s="5">
        <v>10.68</v>
      </c>
      <c r="F18" s="2" t="s">
        <v>80</v>
      </c>
      <c r="G18" s="22"/>
      <c r="H18" s="2"/>
    </row>
    <row r="19" spans="1:8" ht="25">
      <c r="A19" s="21" t="s">
        <v>118</v>
      </c>
      <c r="B19" s="5" t="s">
        <v>119</v>
      </c>
      <c r="C19" s="5"/>
      <c r="D19" s="5">
        <v>-28</v>
      </c>
      <c r="E19" s="5">
        <v>-91</v>
      </c>
      <c r="F19" s="2" t="s">
        <v>80</v>
      </c>
      <c r="G19" s="22" t="s">
        <v>120</v>
      </c>
      <c r="H19" s="2"/>
    </row>
    <row r="20" spans="1:8" ht="25">
      <c r="A20" s="21" t="s">
        <v>121</v>
      </c>
      <c r="B20" s="5"/>
      <c r="C20" s="5"/>
      <c r="D20" s="15">
        <f>SUM(D13:D19)</f>
        <v>8.009999999999998</v>
      </c>
      <c r="E20" s="15">
        <f>SUM(E13:E19)</f>
        <v>70.22999999999999</v>
      </c>
      <c r="F20" s="2" t="s">
        <v>80</v>
      </c>
      <c r="G20" s="22" t="s">
        <v>122</v>
      </c>
      <c r="H20" s="2"/>
    </row>
    <row r="21" spans="1:8">
      <c r="A21" s="21"/>
      <c r="B21" s="5"/>
      <c r="C21" s="5"/>
      <c r="D21" s="5"/>
      <c r="E21" s="5"/>
      <c r="F21" s="2"/>
      <c r="G21" s="22"/>
      <c r="H21" s="2"/>
    </row>
    <row r="22" spans="1:8">
      <c r="A22" s="31" t="s">
        <v>89</v>
      </c>
      <c r="B22" s="9"/>
      <c r="C22" s="9"/>
      <c r="D22" s="9"/>
      <c r="E22" s="9"/>
      <c r="F22" s="8"/>
      <c r="G22" s="32"/>
      <c r="H22" s="2"/>
    </row>
    <row r="23" spans="1:8">
      <c r="A23" s="21" t="s">
        <v>90</v>
      </c>
      <c r="B23" s="15">
        <f>SUM(B6:B10)</f>
        <v>1417.54</v>
      </c>
      <c r="C23" s="5"/>
      <c r="D23" s="5"/>
      <c r="E23" s="5"/>
      <c r="F23" s="2"/>
      <c r="G23" s="22"/>
      <c r="H23" s="2"/>
    </row>
    <row r="24" spans="1:8">
      <c r="A24" s="21" t="s">
        <v>123</v>
      </c>
      <c r="B24" s="15">
        <f>D20</f>
        <v>8.009999999999998</v>
      </c>
      <c r="C24" s="5"/>
      <c r="D24" s="5"/>
      <c r="E24" s="5"/>
      <c r="F24" s="2" t="s">
        <v>80</v>
      </c>
      <c r="G24" s="22"/>
      <c r="H24" s="2"/>
    </row>
    <row r="25" spans="1:8">
      <c r="A25" s="21" t="s">
        <v>94</v>
      </c>
      <c r="B25" s="15">
        <f>B23*'00_Datos_y_Supuestos'!$B$32</f>
        <v>0</v>
      </c>
      <c r="C25" s="5"/>
      <c r="D25" s="5"/>
      <c r="E25" s="5"/>
      <c r="F25" s="2" t="s">
        <v>95</v>
      </c>
      <c r="G25" s="22"/>
      <c r="H25" s="2"/>
    </row>
    <row r="26" spans="1:8">
      <c r="A26" s="21" t="s">
        <v>97</v>
      </c>
      <c r="B26" s="15">
        <f>B23-B24-B25</f>
        <v>1409.53</v>
      </c>
      <c r="C26" s="5"/>
      <c r="D26" s="5"/>
      <c r="E26" s="5"/>
      <c r="F26" s="2"/>
      <c r="G26" s="22"/>
      <c r="H26" s="2"/>
    </row>
    <row r="27" spans="1:8">
      <c r="A27" s="23" t="s">
        <v>98</v>
      </c>
      <c r="B27" s="33">
        <f>B23+E20</f>
        <v>1487.77</v>
      </c>
      <c r="C27" s="34"/>
      <c r="D27" s="34"/>
      <c r="E27" s="34"/>
      <c r="F27" s="25"/>
      <c r="G27" s="26" t="s">
        <v>99</v>
      </c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zoomScaleNormal="100" workbookViewId="0">
      <selection sqref="A1:D12"/>
    </sheetView>
  </sheetViews>
  <sheetFormatPr baseColWidth="10" defaultColWidth="8.6640625" defaultRowHeight="14"/>
  <cols>
    <col min="1" max="1" width="30" customWidth="1"/>
    <col min="2" max="3" width="18" customWidth="1"/>
    <col min="4" max="6" width="22" customWidth="1"/>
    <col min="7" max="7" width="34" customWidth="1"/>
    <col min="8" max="8" width="12" customWidth="1"/>
  </cols>
  <sheetData>
    <row r="1" spans="1:8" ht="84">
      <c r="A1" s="43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 customHeight="1">
      <c r="A3" s="4" t="s">
        <v>124</v>
      </c>
      <c r="B3" s="4"/>
      <c r="C3" s="4"/>
      <c r="D3" s="4"/>
      <c r="E3" s="4"/>
      <c r="F3" s="4"/>
      <c r="G3" s="4"/>
      <c r="H3" s="4"/>
    </row>
    <row r="4" spans="1:8">
      <c r="A4" s="2"/>
      <c r="B4" s="2"/>
      <c r="C4" s="2"/>
      <c r="D4" s="2"/>
      <c r="E4" s="2"/>
      <c r="F4" s="2"/>
      <c r="G4" s="2"/>
      <c r="H4" s="2"/>
    </row>
    <row r="5" spans="1:8" ht="26">
      <c r="A5" s="18" t="s">
        <v>125</v>
      </c>
      <c r="B5" s="19" t="s">
        <v>126</v>
      </c>
      <c r="C5" s="19" t="s">
        <v>127</v>
      </c>
      <c r="D5" s="20" t="s">
        <v>128</v>
      </c>
      <c r="E5" s="2"/>
      <c r="F5" s="2"/>
      <c r="G5" s="2"/>
      <c r="H5" s="2"/>
    </row>
    <row r="6" spans="1:8">
      <c r="A6" s="21" t="s">
        <v>129</v>
      </c>
      <c r="B6" s="15">
        <f>'01_Juana'!B21</f>
        <v>1522.95</v>
      </c>
      <c r="C6" s="15">
        <f>'01_Juana'!B25-'01_Juana'!B21</f>
        <v>595.73555999999985</v>
      </c>
      <c r="D6" s="35">
        <f>'01_Juana'!B25</f>
        <v>2118.6855599999999</v>
      </c>
      <c r="E6" s="2"/>
      <c r="F6" s="2"/>
      <c r="G6" s="2"/>
      <c r="H6" s="2"/>
    </row>
    <row r="7" spans="1:8">
      <c r="A7" s="21" t="s">
        <v>130</v>
      </c>
      <c r="B7" s="15">
        <f>'02_Hector'!B22</f>
        <v>1746.6200000000001</v>
      </c>
      <c r="C7" s="15">
        <f>'02_Hector'!B26-'02_Hector'!B22</f>
        <v>678.73294499999997</v>
      </c>
      <c r="D7" s="35">
        <f>'02_Hector'!B26</f>
        <v>2425.3529450000001</v>
      </c>
      <c r="E7" s="2"/>
      <c r="F7" s="2"/>
      <c r="G7" s="2"/>
      <c r="H7" s="2"/>
    </row>
    <row r="8" spans="1:8">
      <c r="A8" s="21" t="s">
        <v>131</v>
      </c>
      <c r="B8" s="15">
        <f>'03_Rodrigo'!B23</f>
        <v>1417.54</v>
      </c>
      <c r="C8" s="15">
        <f>'03_Rodrigo'!B27-'03_Rodrigo'!B23</f>
        <v>70.230000000000018</v>
      </c>
      <c r="D8" s="35">
        <f>'03_Rodrigo'!B27</f>
        <v>1487.77</v>
      </c>
      <c r="E8" s="2"/>
      <c r="F8" s="2"/>
      <c r="G8" s="2"/>
      <c r="H8" s="2"/>
    </row>
    <row r="9" spans="1:8">
      <c r="A9" s="36" t="s">
        <v>132</v>
      </c>
      <c r="B9" s="37">
        <f>SUM(B6:B8)</f>
        <v>4687.1100000000006</v>
      </c>
      <c r="C9" s="37">
        <f>SUM(C6:C8)</f>
        <v>1344.6985049999998</v>
      </c>
      <c r="D9" s="38">
        <f>SUM(D6:D8)</f>
        <v>6031.8085050000009</v>
      </c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 ht="122" customHeight="1">
      <c r="A11" s="44" t="s">
        <v>222</v>
      </c>
      <c r="B11" s="17" t="s">
        <v>133</v>
      </c>
      <c r="C11" s="17"/>
      <c r="D11" s="17"/>
      <c r="E11" s="2"/>
      <c r="F11" s="2"/>
      <c r="G11" s="2"/>
      <c r="H11" s="2"/>
    </row>
    <row r="12" spans="1:8" ht="83.5" customHeight="1">
      <c r="A12" s="17"/>
      <c r="B12" s="17" t="s">
        <v>134</v>
      </c>
      <c r="C12" s="17"/>
      <c r="D12" s="17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workbookViewId="0">
      <selection sqref="A1:G18"/>
    </sheetView>
  </sheetViews>
  <sheetFormatPr baseColWidth="10" defaultColWidth="8.6640625" defaultRowHeight="14"/>
  <cols>
    <col min="1" max="1" width="24.33203125" customWidth="1"/>
    <col min="2" max="3" width="18" customWidth="1"/>
    <col min="4" max="6" width="22" customWidth="1"/>
    <col min="7" max="7" width="34" customWidth="1"/>
    <col min="8" max="8" width="12" customWidth="1"/>
  </cols>
  <sheetData>
    <row r="1" spans="1:8" ht="96">
      <c r="A1" s="43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 ht="46.5">
      <c r="A3" s="4" t="s">
        <v>135</v>
      </c>
      <c r="B3" s="4"/>
      <c r="C3" s="4"/>
      <c r="D3" s="4"/>
      <c r="E3" s="4"/>
      <c r="F3" s="4"/>
      <c r="G3" s="4"/>
    </row>
    <row r="4" spans="1:8">
      <c r="A4" s="2"/>
      <c r="B4" s="2"/>
      <c r="C4" s="2"/>
      <c r="D4" s="2"/>
      <c r="E4" s="2"/>
      <c r="F4" s="2"/>
      <c r="G4" s="2"/>
      <c r="H4" s="2"/>
    </row>
    <row r="5" spans="1:8" ht="26">
      <c r="A5" s="18" t="s">
        <v>136</v>
      </c>
      <c r="B5" s="19" t="s">
        <v>137</v>
      </c>
      <c r="C5" s="19" t="s">
        <v>138</v>
      </c>
      <c r="D5" s="19" t="s">
        <v>139</v>
      </c>
      <c r="E5" s="19" t="s">
        <v>140</v>
      </c>
      <c r="F5" s="19" t="s">
        <v>141</v>
      </c>
      <c r="G5" s="20" t="s">
        <v>71</v>
      </c>
      <c r="H5" s="2"/>
    </row>
    <row r="6" spans="1:8" ht="29" customHeight="1">
      <c r="A6" s="21" t="s">
        <v>142</v>
      </c>
      <c r="B6" s="2" t="s">
        <v>143</v>
      </c>
      <c r="C6" s="2" t="s">
        <v>80</v>
      </c>
      <c r="D6" s="2" t="s">
        <v>144</v>
      </c>
      <c r="E6" s="2" t="s">
        <v>145</v>
      </c>
      <c r="F6" s="2" t="s">
        <v>146</v>
      </c>
      <c r="G6" s="22" t="s">
        <v>147</v>
      </c>
      <c r="H6" s="2"/>
    </row>
    <row r="7" spans="1:8" ht="25">
      <c r="A7" s="21" t="s">
        <v>148</v>
      </c>
      <c r="B7" s="2" t="s">
        <v>8</v>
      </c>
      <c r="C7" s="2" t="s">
        <v>80</v>
      </c>
      <c r="D7" s="2" t="s">
        <v>144</v>
      </c>
      <c r="E7" s="2" t="s">
        <v>145</v>
      </c>
      <c r="F7" s="2" t="s">
        <v>146</v>
      </c>
      <c r="G7" s="22" t="s">
        <v>149</v>
      </c>
      <c r="H7" s="2"/>
    </row>
    <row r="8" spans="1:8" ht="29" customHeight="1">
      <c r="A8" s="21" t="s">
        <v>150</v>
      </c>
      <c r="B8" s="2" t="s">
        <v>143</v>
      </c>
      <c r="C8" s="2" t="s">
        <v>95</v>
      </c>
      <c r="D8" s="2" t="s">
        <v>151</v>
      </c>
      <c r="E8" s="2" t="s">
        <v>152</v>
      </c>
      <c r="F8" s="2" t="s">
        <v>146</v>
      </c>
      <c r="G8" s="22" t="s">
        <v>153</v>
      </c>
      <c r="H8" s="2"/>
    </row>
    <row r="9" spans="1:8" ht="30.5" customHeight="1">
      <c r="A9" s="21" t="s">
        <v>154</v>
      </c>
      <c r="B9" s="2" t="s">
        <v>155</v>
      </c>
      <c r="C9" s="2" t="s">
        <v>156</v>
      </c>
      <c r="D9" s="2" t="s">
        <v>157</v>
      </c>
      <c r="E9" s="2" t="s">
        <v>158</v>
      </c>
      <c r="F9" s="2" t="s">
        <v>159</v>
      </c>
      <c r="G9" s="22" t="s">
        <v>160</v>
      </c>
      <c r="H9" s="2"/>
    </row>
    <row r="10" spans="1:8" ht="30.5" customHeight="1">
      <c r="A10" s="21" t="s">
        <v>161</v>
      </c>
      <c r="B10" s="2" t="s">
        <v>155</v>
      </c>
      <c r="C10" s="2" t="s">
        <v>80</v>
      </c>
      <c r="D10" s="2" t="s">
        <v>144</v>
      </c>
      <c r="E10" s="2" t="s">
        <v>162</v>
      </c>
      <c r="F10" s="2" t="s">
        <v>163</v>
      </c>
      <c r="G10" s="22"/>
      <c r="H10" s="2"/>
    </row>
    <row r="11" spans="1:8" ht="30.5" customHeight="1">
      <c r="A11" s="21" t="s">
        <v>164</v>
      </c>
      <c r="B11" s="2" t="s">
        <v>155</v>
      </c>
      <c r="C11" s="2" t="s">
        <v>165</v>
      </c>
      <c r="D11" s="2" t="s">
        <v>166</v>
      </c>
      <c r="E11" s="2" t="s">
        <v>167</v>
      </c>
      <c r="F11" s="2" t="s">
        <v>168</v>
      </c>
      <c r="G11" s="22"/>
      <c r="H11" s="2"/>
    </row>
    <row r="12" spans="1:8" ht="25">
      <c r="A12" s="23" t="s">
        <v>169</v>
      </c>
      <c r="B12" s="25" t="s">
        <v>8</v>
      </c>
      <c r="C12" s="25" t="s">
        <v>170</v>
      </c>
      <c r="D12" s="25" t="s">
        <v>171</v>
      </c>
      <c r="E12" s="25" t="s">
        <v>172</v>
      </c>
      <c r="F12" s="25" t="s">
        <v>173</v>
      </c>
      <c r="G12" s="26" t="s">
        <v>174</v>
      </c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10" t="s">
        <v>175</v>
      </c>
      <c r="B14" s="10"/>
      <c r="C14" s="10"/>
      <c r="D14" s="10"/>
      <c r="E14" s="10"/>
      <c r="F14" s="10"/>
      <c r="G14" s="10"/>
      <c r="H14" s="2"/>
    </row>
    <row r="15" spans="1:8" ht="23">
      <c r="A15" s="2" t="s">
        <v>176</v>
      </c>
      <c r="B15" s="14" t="s">
        <v>25</v>
      </c>
      <c r="C15" s="2"/>
      <c r="D15" s="2"/>
      <c r="E15" s="2"/>
      <c r="F15" s="2"/>
      <c r="G15" s="2"/>
      <c r="H15" s="2"/>
    </row>
    <row r="16" spans="1:8" ht="34.5">
      <c r="A16" s="2" t="s">
        <v>177</v>
      </c>
      <c r="B16" s="14" t="s">
        <v>16</v>
      </c>
      <c r="C16" s="2"/>
      <c r="D16" s="2"/>
      <c r="E16" s="2"/>
      <c r="F16" s="2"/>
      <c r="G16" s="2"/>
      <c r="H16" s="2"/>
    </row>
    <row r="17" spans="1:8" ht="34.5">
      <c r="A17" s="2" t="s">
        <v>178</v>
      </c>
      <c r="B17" s="14" t="s">
        <v>20</v>
      </c>
      <c r="C17" s="2"/>
      <c r="D17" s="2"/>
      <c r="E17" s="2"/>
      <c r="F17" s="2"/>
      <c r="G17" s="2"/>
      <c r="H17" s="2"/>
    </row>
    <row r="18" spans="1:8">
      <c r="A18" s="2" t="s">
        <v>179</v>
      </c>
      <c r="B18" s="14" t="s">
        <v>180</v>
      </c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workbookViewId="0">
      <selection sqref="A1:D19"/>
    </sheetView>
  </sheetViews>
  <sheetFormatPr baseColWidth="10" defaultColWidth="8.6640625" defaultRowHeight="14"/>
  <cols>
    <col min="1" max="1" width="26.08203125" customWidth="1"/>
    <col min="2" max="2" width="12.25" customWidth="1"/>
    <col min="3" max="3" width="9.33203125" bestFit="1" customWidth="1"/>
    <col min="4" max="6" width="22" customWidth="1"/>
    <col min="7" max="7" width="34" customWidth="1"/>
    <col min="8" max="8" width="12" customWidth="1"/>
  </cols>
  <sheetData>
    <row r="1" spans="1:8" ht="96">
      <c r="A1" s="43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 customHeight="1">
      <c r="A3" s="4" t="s">
        <v>181</v>
      </c>
      <c r="B3" s="4"/>
      <c r="C3" s="4"/>
      <c r="D3" s="4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18" t="s">
        <v>65</v>
      </c>
      <c r="B5" s="19" t="s">
        <v>182</v>
      </c>
      <c r="C5" s="19" t="s">
        <v>183</v>
      </c>
      <c r="D5" s="20" t="s">
        <v>71</v>
      </c>
      <c r="E5" s="2"/>
      <c r="F5" s="2"/>
      <c r="G5" s="2"/>
      <c r="H5" s="2"/>
    </row>
    <row r="6" spans="1:8">
      <c r="A6" s="21" t="s">
        <v>184</v>
      </c>
      <c r="B6" s="5" t="s">
        <v>18</v>
      </c>
      <c r="C6" s="5"/>
      <c r="D6" s="22"/>
      <c r="E6" s="2"/>
      <c r="F6" s="2"/>
      <c r="G6" s="2"/>
      <c r="H6" s="2"/>
    </row>
    <row r="7" spans="1:8">
      <c r="A7" s="21" t="s">
        <v>185</v>
      </c>
      <c r="B7" s="5" t="s">
        <v>186</v>
      </c>
      <c r="C7" s="5"/>
      <c r="D7" s="22" t="s">
        <v>187</v>
      </c>
      <c r="E7" s="2"/>
      <c r="F7" s="2"/>
      <c r="G7" s="2"/>
      <c r="H7" s="2"/>
    </row>
    <row r="8" spans="1:8">
      <c r="A8" s="21" t="s">
        <v>188</v>
      </c>
      <c r="B8" s="5" t="s">
        <v>189</v>
      </c>
      <c r="C8" s="5"/>
      <c r="D8" s="22" t="s">
        <v>190</v>
      </c>
      <c r="E8" s="2"/>
      <c r="F8" s="2"/>
      <c r="G8" s="2"/>
      <c r="H8" s="2"/>
    </row>
    <row r="9" spans="1:8" ht="25">
      <c r="A9" s="21" t="s">
        <v>191</v>
      </c>
      <c r="B9" s="5">
        <v>1462.95</v>
      </c>
      <c r="C9" s="5"/>
      <c r="D9" s="22" t="s">
        <v>192</v>
      </c>
      <c r="E9" s="2"/>
      <c r="F9" s="2"/>
      <c r="G9" s="2"/>
      <c r="H9" s="2"/>
    </row>
    <row r="10" spans="1:8">
      <c r="A10" s="21" t="s">
        <v>193</v>
      </c>
      <c r="B10" s="5">
        <v>3788.85</v>
      </c>
      <c r="C10" s="5"/>
      <c r="D10" s="22" t="s">
        <v>194</v>
      </c>
      <c r="E10" s="2"/>
      <c r="F10" s="2"/>
      <c r="G10" s="2"/>
      <c r="H10" s="2"/>
    </row>
    <row r="11" spans="1:8" ht="25">
      <c r="A11" s="21" t="s">
        <v>195</v>
      </c>
      <c r="B11" s="5"/>
      <c r="C11" s="15">
        <f>B9*12+B10</f>
        <v>21344.25</v>
      </c>
      <c r="D11" s="22" t="s">
        <v>196</v>
      </c>
      <c r="E11" s="2"/>
      <c r="F11" s="2"/>
      <c r="G11" s="2"/>
      <c r="H11" s="2"/>
    </row>
    <row r="12" spans="1:8">
      <c r="A12" s="21" t="s">
        <v>197</v>
      </c>
      <c r="B12" s="5"/>
      <c r="C12" s="15">
        <f>C11/365</f>
        <v>58.477397260273975</v>
      </c>
      <c r="D12" s="22" t="s">
        <v>198</v>
      </c>
      <c r="E12" s="2"/>
      <c r="F12" s="2"/>
      <c r="G12" s="2"/>
      <c r="H12" s="2"/>
    </row>
    <row r="13" spans="1:8">
      <c r="A13" s="21" t="s">
        <v>199</v>
      </c>
      <c r="B13" s="5"/>
      <c r="C13" s="15">
        <f>20*(25/12)</f>
        <v>41.666666666666671</v>
      </c>
      <c r="D13" s="22" t="s">
        <v>200</v>
      </c>
      <c r="E13" s="2"/>
      <c r="F13" s="2"/>
      <c r="G13" s="2"/>
      <c r="H13" s="2"/>
    </row>
    <row r="14" spans="1:8" ht="25">
      <c r="A14" s="21" t="s">
        <v>201</v>
      </c>
      <c r="B14" s="5"/>
      <c r="C14" s="15">
        <f>C12*C13</f>
        <v>2436.5582191780827</v>
      </c>
      <c r="D14" s="22" t="s">
        <v>202</v>
      </c>
      <c r="E14" s="2"/>
      <c r="F14" s="2"/>
      <c r="G14" s="2"/>
      <c r="H14" s="2"/>
    </row>
    <row r="15" spans="1:8">
      <c r="A15" s="21" t="s">
        <v>203</v>
      </c>
      <c r="B15" s="5">
        <v>1522.95</v>
      </c>
      <c r="C15" s="15"/>
      <c r="D15" s="22" t="s">
        <v>204</v>
      </c>
      <c r="E15" s="2"/>
      <c r="F15" s="2"/>
      <c r="G15" s="2"/>
      <c r="H15" s="2"/>
    </row>
    <row r="16" spans="1:8" ht="25">
      <c r="A16" s="21" t="s">
        <v>205</v>
      </c>
      <c r="B16" s="5"/>
      <c r="C16" s="15">
        <f>C12*5</f>
        <v>292.38698630136986</v>
      </c>
      <c r="D16" s="22" t="s">
        <v>206</v>
      </c>
      <c r="E16" s="2"/>
      <c r="F16" s="2"/>
      <c r="G16" s="2"/>
      <c r="H16" s="2"/>
    </row>
    <row r="17" spans="1:8" ht="37.5">
      <c r="A17" s="21" t="s">
        <v>207</v>
      </c>
      <c r="B17" s="5">
        <v>0</v>
      </c>
      <c r="C17" s="15">
        <f>B17</f>
        <v>0</v>
      </c>
      <c r="D17" s="22" t="s">
        <v>208</v>
      </c>
      <c r="E17" s="2"/>
      <c r="F17" s="2"/>
      <c r="G17" s="2"/>
      <c r="H17" s="2"/>
    </row>
    <row r="18" spans="1:8" ht="25">
      <c r="A18" s="21" t="s">
        <v>209</v>
      </c>
      <c r="B18" s="5"/>
      <c r="C18" s="15">
        <f>B15+C16+C17</f>
        <v>1815.33698630137</v>
      </c>
      <c r="D18" s="22" t="s">
        <v>210</v>
      </c>
      <c r="E18" s="2"/>
      <c r="F18" s="2"/>
      <c r="G18" s="2"/>
      <c r="H18" s="2"/>
    </row>
    <row r="19" spans="1:8">
      <c r="A19" s="36" t="s">
        <v>211</v>
      </c>
      <c r="B19" s="39"/>
      <c r="C19" s="37">
        <f>C18+C14</f>
        <v>4251.8952054794527</v>
      </c>
      <c r="D19" s="40" t="s">
        <v>212</v>
      </c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"/>
  <sheetViews>
    <sheetView tabSelected="1" workbookViewId="0"/>
  </sheetViews>
  <sheetFormatPr baseColWidth="10" defaultColWidth="8.6640625" defaultRowHeight="14"/>
  <cols>
    <col min="1" max="1" width="24.75" customWidth="1"/>
    <col min="2" max="2" width="11.75" customWidth="1"/>
    <col min="3" max="3" width="13.75" customWidth="1"/>
    <col min="4" max="4" width="18.33203125" customWidth="1"/>
    <col min="5" max="5" width="16.25" customWidth="1"/>
    <col min="6" max="6" width="22" customWidth="1"/>
    <col min="7" max="7" width="34" customWidth="1"/>
    <col min="8" max="8" width="12" customWidth="1"/>
  </cols>
  <sheetData>
    <row r="1" spans="1:8" ht="96">
      <c r="A1" s="43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 customHeight="1">
      <c r="A3" s="4" t="s">
        <v>213</v>
      </c>
      <c r="B3" s="4"/>
      <c r="C3" s="4"/>
      <c r="D3" s="4"/>
      <c r="E3" s="4"/>
    </row>
    <row r="4" spans="1:8">
      <c r="A4" s="2"/>
      <c r="B4" s="2"/>
      <c r="C4" s="2"/>
      <c r="D4" s="2"/>
      <c r="E4" s="2"/>
      <c r="F4" s="2"/>
      <c r="G4" s="2"/>
      <c r="H4" s="2"/>
    </row>
    <row r="5" spans="1:8" ht="26">
      <c r="A5" s="18" t="s">
        <v>125</v>
      </c>
      <c r="B5" s="20" t="s">
        <v>128</v>
      </c>
      <c r="C5" s="2"/>
      <c r="D5" s="2"/>
      <c r="E5" s="2"/>
      <c r="F5" s="2"/>
      <c r="G5" s="2"/>
      <c r="H5" s="2"/>
    </row>
    <row r="6" spans="1:8">
      <c r="A6" s="21" t="s">
        <v>129</v>
      </c>
      <c r="B6" s="35">
        <f>'04_Coste_Empresa'!D6</f>
        <v>2118.6855599999999</v>
      </c>
      <c r="C6" s="2"/>
      <c r="D6" s="2"/>
      <c r="E6" s="2"/>
      <c r="F6" s="2"/>
      <c r="G6" s="2"/>
      <c r="H6" s="2"/>
    </row>
    <row r="7" spans="1:8">
      <c r="A7" s="21" t="s">
        <v>130</v>
      </c>
      <c r="B7" s="35">
        <f>'04_Coste_Empresa'!D7</f>
        <v>2425.3529450000001</v>
      </c>
      <c r="C7" s="2"/>
      <c r="D7" s="2"/>
      <c r="E7" s="2"/>
      <c r="F7" s="2"/>
      <c r="G7" s="2"/>
      <c r="H7" s="2"/>
    </row>
    <row r="8" spans="1:8">
      <c r="A8" s="21" t="s">
        <v>131</v>
      </c>
      <c r="B8" s="35">
        <f>'04_Coste_Empresa'!D8</f>
        <v>1487.77</v>
      </c>
      <c r="C8" s="2"/>
      <c r="D8" s="2"/>
      <c r="E8" s="2"/>
      <c r="F8" s="2"/>
      <c r="G8" s="2"/>
      <c r="H8" s="2"/>
    </row>
    <row r="9" spans="1:8">
      <c r="A9" s="36" t="s">
        <v>132</v>
      </c>
      <c r="B9" s="38">
        <f>SUM(B6:B8)</f>
        <v>6031.8085050000009</v>
      </c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6" t="s">
        <v>214</v>
      </c>
      <c r="B12" s="6"/>
      <c r="C12" s="6"/>
      <c r="D12" s="6"/>
      <c r="E12" s="6"/>
      <c r="F12" s="2"/>
      <c r="G12" s="2"/>
      <c r="H12" s="2"/>
    </row>
    <row r="13" spans="1:8" ht="39">
      <c r="A13" s="18" t="s">
        <v>215</v>
      </c>
      <c r="B13" s="19" t="s">
        <v>216</v>
      </c>
      <c r="C13" s="19" t="s">
        <v>217</v>
      </c>
      <c r="D13" s="19" t="s">
        <v>218</v>
      </c>
      <c r="E13" s="20" t="s">
        <v>219</v>
      </c>
      <c r="F13" s="2"/>
      <c r="G13" s="2"/>
      <c r="H13" s="2"/>
    </row>
    <row r="14" spans="1:8">
      <c r="A14" s="21" t="s">
        <v>129</v>
      </c>
      <c r="B14" s="15">
        <f>B6</f>
        <v>2118.6855599999999</v>
      </c>
      <c r="C14" s="16">
        <v>0</v>
      </c>
      <c r="D14" s="15">
        <f>B14-C14</f>
        <v>2118.6855599999999</v>
      </c>
      <c r="E14" s="35">
        <f>D14*12</f>
        <v>25424.226719999999</v>
      </c>
      <c r="F14" s="2"/>
      <c r="G14" s="2"/>
      <c r="H14" s="2"/>
    </row>
    <row r="15" spans="1:8">
      <c r="A15" s="21" t="s">
        <v>130</v>
      </c>
      <c r="B15" s="15">
        <f>B7</f>
        <v>2425.3529450000001</v>
      </c>
      <c r="C15" s="16">
        <v>0</v>
      </c>
      <c r="D15" s="15">
        <f>B15-C15</f>
        <v>2425.3529450000001</v>
      </c>
      <c r="E15" s="35">
        <f>D15*12</f>
        <v>29104.235339999999</v>
      </c>
      <c r="F15" s="2"/>
      <c r="G15" s="2"/>
      <c r="H15" s="2"/>
    </row>
    <row r="16" spans="1:8">
      <c r="A16" s="23" t="s">
        <v>131</v>
      </c>
      <c r="B16" s="33">
        <f>B8</f>
        <v>1487.77</v>
      </c>
      <c r="C16" s="41">
        <v>0</v>
      </c>
      <c r="D16" s="33">
        <f>B16-C16</f>
        <v>1487.77</v>
      </c>
      <c r="E16" s="42">
        <f>D16*12</f>
        <v>17853.239999999998</v>
      </c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11" t="s">
        <v>220</v>
      </c>
      <c r="B18" s="11"/>
      <c r="C18" s="11"/>
      <c r="D18" s="11"/>
      <c r="E18" s="11"/>
      <c r="F18" s="2"/>
      <c r="G18" s="2"/>
      <c r="H18" s="2"/>
    </row>
    <row r="19" spans="1:8" ht="80.5">
      <c r="A19" s="45" t="s">
        <v>221</v>
      </c>
      <c r="B19" s="17"/>
      <c r="C19" s="17"/>
      <c r="D19" s="17"/>
      <c r="E19" s="17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00_Datos_y_Supuestos</vt:lpstr>
      <vt:lpstr>01_Juana</vt:lpstr>
      <vt:lpstr>02_Hector</vt:lpstr>
      <vt:lpstr>03_Rodrigo</vt:lpstr>
      <vt:lpstr>04_Coste_Empresa</vt:lpstr>
      <vt:lpstr>05_Obligaciones</vt:lpstr>
      <vt:lpstr>06_Finiquito_Juana</vt:lpstr>
      <vt:lpstr>07_Resumen_Gerencial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 Calderon</cp:lastModifiedBy>
  <dcterms:modified xsi:type="dcterms:W3CDTF">2026-10-02T07:55:11Z</dcterms:modified>
</cp:coreProperties>
</file>